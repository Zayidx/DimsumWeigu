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nergi" sheetId="1" state="visible" r:id="rId3"/>
    <sheet name="Menu Summary" sheetId="2" state="visible" r:id="rId4"/>
    <sheet name="Master Bahan" sheetId="3" state="visible" r:id="rId5"/>
    <sheet name="All Sauce" sheetId="4" state="visible" r:id="rId6"/>
    <sheet name="Packaging" sheetId="5" state="visible" r:id="rId7"/>
    <sheet name="Mentai Sauce" sheetId="6" state="visible" r:id="rId8"/>
    <sheet name="Chikuro" sheetId="7" state="visible" r:id="rId9"/>
    <sheet name="Lumpia" sheetId="8" state="visible" r:id="rId10"/>
    <sheet name="Dimsum" sheetId="9" state="visible" r:id="rId11"/>
    <sheet name="KOPI EVEN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<sst xmlns="http://schemas.openxmlformats.org/spreadsheetml/2006/main" count="917" uniqueCount="183">
  <si>
    <t xml:space="preserve">Energy 4 Outlet</t>
  </si>
  <si>
    <t xml:space="preserve">NO.</t>
  </si>
  <si>
    <t xml:space="preserve">KETERANGAN</t>
  </si>
  <si>
    <t xml:space="preserve">Total Harga</t>
  </si>
  <si>
    <t xml:space="preserve">day</t>
  </si>
  <si>
    <t xml:space="preserve">ket/day</t>
  </si>
  <si>
    <t xml:space="preserve">Sewa Lapak </t>
  </si>
  <si>
    <t xml:space="preserve">Day</t>
  </si>
  <si>
    <t xml:space="preserve">Sewa Produksi</t>
  </si>
  <si>
    <t xml:space="preserve">Gas</t>
  </si>
  <si>
    <t xml:space="preserve">gas/bulan</t>
  </si>
  <si>
    <t xml:space="preserve">Gaji 6 person</t>
  </si>
  <si>
    <t xml:space="preserve">all outlet/day</t>
  </si>
  <si>
    <t xml:space="preserve">1 outlet/day</t>
  </si>
  <si>
    <t xml:space="preserve">ENERGI 611.000/300 PORSI</t>
  </si>
  <si>
    <t xml:space="preserve">KOTOR</t>
  </si>
  <si>
    <t xml:space="preserve">HPP</t>
  </si>
  <si>
    <t xml:space="preserve">ENERGI</t>
  </si>
  <si>
    <t xml:space="preserve">BERSIH</t>
  </si>
  <si>
    <t xml:space="preserve">BERSIH/BLN</t>
  </si>
  <si>
    <t xml:space="preserve">NO</t>
  </si>
  <si>
    <t xml:space="preserve">NAMA MENU</t>
  </si>
  <si>
    <t xml:space="preserve">RINCIAN MENU</t>
  </si>
  <si>
    <t xml:space="preserve">PCS</t>
  </si>
  <si>
    <t xml:space="preserve">TOTAL HPP</t>
  </si>
  <si>
    <t xml:space="preserve">HPP PACK</t>
  </si>
  <si>
    <t xml:space="preserve">ENERGI/ TARGET 300pcs</t>
  </si>
  <si>
    <t xml:space="preserve">TOTAL COST</t>
  </si>
  <si>
    <t xml:space="preserve">HARGA JUAL</t>
  </si>
  <si>
    <t xml:space="preserve">TARGET/ DAY</t>
  </si>
  <si>
    <t xml:space="preserve">TOTAL KOTOR</t>
  </si>
  <si>
    <t xml:space="preserve">TOTAL COST/TARGET</t>
  </si>
  <si>
    <t xml:space="preserve">BERSIH/ TARGET</t>
  </si>
  <si>
    <t xml:space="preserve">TOTAL ENERGI</t>
  </si>
  <si>
    <t xml:space="preserve">PCS MENU</t>
  </si>
  <si>
    <t xml:space="preserve">Dimsum Ori isi 4</t>
  </si>
  <si>
    <t xml:space="preserve">Dimsum ori topping beef</t>
  </si>
  <si>
    <t xml:space="preserve">Chili Oil</t>
  </si>
  <si>
    <t xml:space="preserve">Dimsum Ori isi 6</t>
  </si>
  <si>
    <t xml:space="preserve">Dimsum Ori isi 8</t>
  </si>
  <si>
    <t xml:space="preserve">Dimsum mentai isi 4</t>
  </si>
  <si>
    <t xml:space="preserve">Dimsum Mentai Sauce </t>
  </si>
  <si>
    <t xml:space="preserve">Dimsum mentai isi 6</t>
  </si>
  <si>
    <t xml:space="preserve">Dimsum mentai isi 8</t>
  </si>
  <si>
    <t xml:space="preserve">Dimsum Chesee isi 4</t>
  </si>
  <si>
    <t xml:space="preserve">Dimsum isi Keju</t>
  </si>
  <si>
    <t xml:space="preserve">Dimsum Chesee isi 6</t>
  </si>
  <si>
    <t xml:space="preserve">Dimsum Chesee isi 8</t>
  </si>
  <si>
    <t xml:space="preserve">Dimsum MIX isi 6</t>
  </si>
  <si>
    <t xml:space="preserve">Bolognese Sauce</t>
  </si>
  <si>
    <t xml:space="preserve">Dimsum MIX isi 8</t>
  </si>
  <si>
    <t xml:space="preserve">Lumpia Ori isi 3</t>
  </si>
  <si>
    <t xml:space="preserve">Lumpia</t>
  </si>
  <si>
    <t xml:space="preserve">Lumpia Ori isi 5</t>
  </si>
  <si>
    <t xml:space="preserve">Lumpia Mentai isi 3</t>
  </si>
  <si>
    <t xml:space="preserve">Lumpia Mentai Sauce </t>
  </si>
  <si>
    <t xml:space="preserve">Lumpia Mentai isi 5</t>
  </si>
  <si>
    <t xml:space="preserve">Chikuro Garlic</t>
  </si>
  <si>
    <t xml:space="preserve">Chikuro Basic</t>
  </si>
  <si>
    <t xml:space="preserve">Garlic Sauce</t>
  </si>
  <si>
    <t xml:space="preserve">Chikuro Mentai</t>
  </si>
  <si>
    <t xml:space="preserve">Chikuro Mentai Sauce </t>
  </si>
  <si>
    <t xml:space="preserve">Chikuro Lava</t>
  </si>
  <si>
    <t xml:space="preserve">Lava Sauce</t>
  </si>
  <si>
    <t xml:space="preserve">Chikuro Cheese</t>
  </si>
  <si>
    <t xml:space="preserve">Chesee Sauce</t>
  </si>
  <si>
    <t xml:space="preserve">NAMA BAHAN</t>
  </si>
  <si>
    <t xml:space="preserve">Weight</t>
  </si>
  <si>
    <t xml:space="preserve">UOM</t>
  </si>
  <si>
    <t xml:space="preserve">HARGA</t>
  </si>
  <si>
    <t xml:space="preserve">TOTAL </t>
  </si>
  <si>
    <t xml:space="preserve">Ayam Fillet Paha</t>
  </si>
  <si>
    <t xml:space="preserve">kg</t>
  </si>
  <si>
    <t xml:space="preserve">Telur Ayam</t>
  </si>
  <si>
    <t xml:space="preserve">gr</t>
  </si>
  <si>
    <t xml:space="preserve">Daging Giling sapi</t>
  </si>
  <si>
    <t xml:space="preserve">Daun Bawang</t>
  </si>
  <si>
    <t xml:space="preserve">Bawang Bombay</t>
  </si>
  <si>
    <t xml:space="preserve">Bawang Putih</t>
  </si>
  <si>
    <t xml:space="preserve">Minyak Wijen </t>
  </si>
  <si>
    <t xml:space="preserve">Kecap Asin</t>
  </si>
  <si>
    <t xml:space="preserve">ml</t>
  </si>
  <si>
    <t xml:space="preserve">Saori saus Tiram</t>
  </si>
  <si>
    <t xml:space="preserve">Chicken Powder Knorr</t>
  </si>
  <si>
    <t xml:space="preserve">Sasa</t>
  </si>
  <si>
    <t xml:space="preserve">Garam</t>
  </si>
  <si>
    <t xml:space="preserve">Gula Pasir</t>
  </si>
  <si>
    <t xml:space="preserve">Tepung panir</t>
  </si>
  <si>
    <t xml:space="preserve">Tepung Tapioka</t>
  </si>
  <si>
    <t xml:space="preserve">Lada</t>
  </si>
  <si>
    <t xml:space="preserve">Mamayo</t>
  </si>
  <si>
    <t xml:space="preserve">Saus tomat</t>
  </si>
  <si>
    <t xml:space="preserve">Saus Sambal</t>
  </si>
  <si>
    <t xml:space="preserve">Kikoman Manis</t>
  </si>
  <si>
    <t xml:space="preserve">Oregano</t>
  </si>
  <si>
    <t xml:space="preserve">Minyak Goreng</t>
  </si>
  <si>
    <t xml:space="preserve">lt</t>
  </si>
  <si>
    <t xml:space="preserve">Cabe kering</t>
  </si>
  <si>
    <t xml:space="preserve">Kapulaga</t>
  </si>
  <si>
    <t xml:space="preserve">Kayu Manis</t>
  </si>
  <si>
    <t xml:space="preserve">Cengkeh</t>
  </si>
  <si>
    <t xml:space="preserve">Parsley</t>
  </si>
  <si>
    <t xml:space="preserve">Keju quickmelt</t>
  </si>
  <si>
    <t xml:space="preserve">Air Mineral</t>
  </si>
  <si>
    <t xml:space="preserve">Maizena </t>
  </si>
  <si>
    <t xml:space="preserve">Bubuk Keju</t>
  </si>
  <si>
    <t xml:space="preserve">Creamer</t>
  </si>
  <si>
    <t xml:space="preserve">Kulit Dimsum </t>
  </si>
  <si>
    <t xml:space="preserve">pcs</t>
  </si>
  <si>
    <t xml:space="preserve">Kulit Lumpia</t>
  </si>
  <si>
    <t xml:space="preserve">Cup Saus</t>
  </si>
  <si>
    <t xml:space="preserve">Saus Dimsum</t>
  </si>
  <si>
    <t xml:space="preserve">Saus Lava</t>
  </si>
  <si>
    <t xml:space="preserve">Gourmet BBQ</t>
  </si>
  <si>
    <t xml:space="preserve">Rumput Laut</t>
  </si>
  <si>
    <t xml:space="preserve">wortel</t>
  </si>
  <si>
    <t xml:space="preserve">beef patty</t>
  </si>
  <si>
    <t xml:space="preserve">NAMA</t>
  </si>
  <si>
    <t xml:space="preserve">INGREDIENTS</t>
  </si>
  <si>
    <t xml:space="preserve">QTY</t>
  </si>
  <si>
    <t xml:space="preserve">HARSAT</t>
  </si>
  <si>
    <t xml:space="preserve">PRICE</t>
  </si>
  <si>
    <t xml:space="preserve">COST</t>
  </si>
  <si>
    <t xml:space="preserve">Energi</t>
  </si>
  <si>
    <t xml:space="preserve">Saus dimsum</t>
  </si>
  <si>
    <t xml:space="preserve">Cabe Kering</t>
  </si>
  <si>
    <t xml:space="preserve">Gula pasir</t>
  </si>
  <si>
    <t xml:space="preserve">Cup chili oil</t>
  </si>
  <si>
    <t xml:space="preserve">38pcs/1 recipe</t>
  </si>
  <si>
    <t xml:space="preserve">60g/pcs</t>
  </si>
  <si>
    <t xml:space="preserve">20pcs/1 recipe</t>
  </si>
  <si>
    <t xml:space="preserve">39pcs/1 recipe</t>
  </si>
  <si>
    <t xml:space="preserve">Saus Bolognese</t>
  </si>
  <si>
    <t xml:space="preserve">79pcs/recipe</t>
  </si>
  <si>
    <t xml:space="preserve">35g/pcs</t>
  </si>
  <si>
    <t xml:space="preserve">UTENSIL</t>
  </si>
  <si>
    <t xml:space="preserve">box pack dimsum</t>
  </si>
  <si>
    <t xml:space="preserve">Pcs</t>
  </si>
  <si>
    <t xml:space="preserve">Sumpit </t>
  </si>
  <si>
    <t xml:space="preserve">Cup </t>
  </si>
  <si>
    <t xml:space="preserve">Plastik dimsum 24</t>
  </si>
  <si>
    <t xml:space="preserve">Pack chikuro</t>
  </si>
  <si>
    <t xml:space="preserve">Plastik Chikuro</t>
  </si>
  <si>
    <t xml:space="preserve">130pcs/1 recipe</t>
  </si>
  <si>
    <t xml:space="preserve">30g/pcs</t>
  </si>
  <si>
    <t xml:space="preserve">Saus Tomat</t>
  </si>
  <si>
    <t xml:space="preserve">65cs/1 recipe</t>
  </si>
  <si>
    <t xml:space="preserve">Tepung Panir</t>
  </si>
  <si>
    <t xml:space="preserve">Chikuro Garlic Sauce</t>
  </si>
  <si>
    <t xml:space="preserve">Chikuro Lava Sauce</t>
  </si>
  <si>
    <t xml:space="preserve">Chikuro Chesee Sauce</t>
  </si>
  <si>
    <t xml:space="preserve">Chesee sauce</t>
  </si>
  <si>
    <t xml:space="preserve">Lumpia keju ori</t>
  </si>
  <si>
    <t xml:space="preserve">Lumpia keju mentai</t>
  </si>
  <si>
    <t xml:space="preserve">Mentai Sauce</t>
  </si>
  <si>
    <t xml:space="preserve">Dimsum ori topping wortel</t>
  </si>
  <si>
    <t xml:space="preserve">Dimsum Mentai</t>
  </si>
  <si>
    <t xml:space="preserve">Dimsum Bolognese</t>
  </si>
  <si>
    <t xml:space="preserve">Sauce Bolognese</t>
  </si>
  <si>
    <t xml:space="preserve">`</t>
  </si>
  <si>
    <t xml:space="preserve">KOPI SUSU JADUL</t>
  </si>
  <si>
    <t xml:space="preserve">NESCAFFE 30ml</t>
  </si>
  <si>
    <t xml:space="preserve">set</t>
  </si>
  <si>
    <t xml:space="preserve">1pcs</t>
  </si>
  <si>
    <t xml:space="preserve">SKM</t>
  </si>
  <si>
    <t xml:space="preserve">CREAMER 100ml</t>
  </si>
  <si>
    <t xml:space="preserve">Susu UHT</t>
  </si>
  <si>
    <t xml:space="preserve">Gula cair</t>
  </si>
  <si>
    <t xml:space="preserve">Botol</t>
  </si>
  <si>
    <t xml:space="preserve">Basic Preparation</t>
  </si>
  <si>
    <t xml:space="preserve">NESCAFE BASIC</t>
  </si>
  <si>
    <t xml:space="preserve">NESCAFFE 20porsi(45g)</t>
  </si>
  <si>
    <t xml:space="preserve">nescafe 45g beli 5</t>
  </si>
  <si>
    <t xml:space="preserve">30ml</t>
  </si>
  <si>
    <t xml:space="preserve">creamer beli 5</t>
  </si>
  <si>
    <t xml:space="preserve">gula beli 1.500 g</t>
  </si>
  <si>
    <t xml:space="preserve">skm beli 2</t>
  </si>
  <si>
    <t xml:space="preserve">Creamer </t>
  </si>
  <si>
    <t xml:space="preserve">susu beli 10</t>
  </si>
  <si>
    <t xml:space="preserve">100ml</t>
  </si>
  <si>
    <t xml:space="preserve">Simple Syrup</t>
  </si>
  <si>
    <t xml:space="preserve">Gula</t>
  </si>
  <si>
    <t xml:space="preserve">10ml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</si>
</sst>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_-;\-* #,##0.00_-;_-* \-??_-;_-@_-"/>
    <numFmt numFmtId="166" formatCode="_-* #,##0_-;\-* #,##0_-;_-* \-??_-;_-@_-"/>
    <numFmt numFmtId="167" formatCode="0%"/>
    <numFmt numFmtId="168" formatCode="0"/>
    <numFmt numFmtId="169" formatCode="0.00"/>
    <numFmt numFmtId="170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C00000"/>
      </patternFill>
    </fill>
    <fill>
      <patternFill patternType="solid">
        <fgColor theme="5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8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3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14.71"/>
    <col collapsed="false" customWidth="true" hidden="false" outlineLevel="0" max="3" min="3" style="1" width="12.29"/>
    <col collapsed="false" customWidth="true" hidden="false" outlineLevel="0" max="4" min="4" style="1" width="5.57"/>
    <col collapsed="false" customWidth="true" hidden="false" outlineLevel="0" max="5" min="5" style="1" width="14.57"/>
    <col collapsed="false" customWidth="true" hidden="false" outlineLevel="0" max="6" min="6" style="1" width="12.29"/>
    <col collapsed="false" customWidth="true" hidden="false" outlineLevel="0" max="7" min="7" style="1" width="9.14"/>
  </cols>
  <sheetData>
    <row r="1" customFormat="false" ht="15" hidden="false" customHeight="false" outlineLevel="0" collapsed="false">
      <c r="A1" s="2"/>
      <c r="B1" s="3" t="s">
        <v>0</v>
      </c>
      <c r="C1" s="4"/>
      <c r="D1" s="5"/>
      <c r="E1" s="5"/>
      <c r="F1" s="4"/>
    </row>
    <row r="2" customFormat="false" ht="15" hidden="false" customHeight="false" outlineLevel="0" collapsed="false">
      <c r="A2" s="2"/>
      <c r="C2" s="4"/>
      <c r="D2" s="5"/>
      <c r="E2" s="5"/>
      <c r="F2" s="4"/>
    </row>
    <row r="3" customFormat="false" ht="15" hidden="false" customHeight="false" outlineLevel="0" collapsed="false">
      <c r="A3" s="6" t="s">
        <v>1</v>
      </c>
      <c r="B3" s="7" t="s">
        <v>2</v>
      </c>
      <c r="C3" s="8" t="s">
        <v>3</v>
      </c>
      <c r="D3" s="9" t="s">
        <v>4</v>
      </c>
      <c r="E3" s="9" t="s">
        <v>5</v>
      </c>
      <c r="F3" s="8" t="s">
        <v>3</v>
      </c>
    </row>
    <row r="4" customFormat="false" ht="15" hidden="false" customHeight="false" outlineLevel="0" collapsed="false">
      <c r="A4" s="2" t="n">
        <v>1</v>
      </c>
      <c r="B4" s="1" t="s">
        <v>6</v>
      </c>
      <c r="C4" s="4" t="n">
        <v>1900000</v>
      </c>
      <c r="D4" s="5" t="n">
        <v>26</v>
      </c>
      <c r="E4" s="5" t="s">
        <v>7</v>
      </c>
      <c r="F4" s="4" t="n">
        <f aca="false">C4/D4</f>
        <v>73076.9230769231</v>
      </c>
    </row>
    <row r="5" customFormat="false" ht="15" hidden="false" customHeight="false" outlineLevel="0" collapsed="false">
      <c r="A5" s="2" t="n">
        <v>2</v>
      </c>
      <c r="B5" s="1" t="s">
        <v>8</v>
      </c>
      <c r="C5" s="4" t="n">
        <v>500000</v>
      </c>
      <c r="D5" s="5" t="n">
        <v>26</v>
      </c>
      <c r="E5" s="5" t="s">
        <v>7</v>
      </c>
      <c r="F5" s="4" t="n">
        <f aca="false">C5/D5</f>
        <v>19230.7692307692</v>
      </c>
    </row>
    <row r="6" customFormat="false" ht="15" hidden="false" customHeight="false" outlineLevel="0" collapsed="false">
      <c r="A6" s="2" t="n">
        <v>3</v>
      </c>
      <c r="B6" s="1" t="s">
        <v>9</v>
      </c>
      <c r="C6" s="4" t="n">
        <v>1100000</v>
      </c>
      <c r="D6" s="5" t="n">
        <v>50</v>
      </c>
      <c r="E6" s="5" t="s">
        <v>10</v>
      </c>
      <c r="F6" s="4" t="n">
        <f aca="false">C6/D6</f>
        <v>22000</v>
      </c>
    </row>
    <row r="7" customFormat="false" ht="15" hidden="false" customHeight="false" outlineLevel="0" collapsed="false">
      <c r="A7" s="2" t="n">
        <v>4</v>
      </c>
      <c r="B7" s="1" t="s">
        <v>11</v>
      </c>
      <c r="C7" s="4" t="n">
        <v>12900000</v>
      </c>
      <c r="D7" s="5" t="n">
        <v>26</v>
      </c>
      <c r="E7" s="5" t="s">
        <v>7</v>
      </c>
      <c r="F7" s="4" t="n">
        <f aca="false">C7/D7</f>
        <v>496153.846153846</v>
      </c>
    </row>
    <row r="8" customFormat="false" ht="15" hidden="false" customHeight="false" outlineLevel="0" collapsed="false">
      <c r="A8" s="2"/>
      <c r="C8" s="4"/>
      <c r="D8" s="5"/>
      <c r="E8" s="5"/>
      <c r="F8" s="4"/>
    </row>
    <row r="9" customFormat="false" ht="15" hidden="false" customHeight="false" outlineLevel="0" collapsed="false">
      <c r="A9" s="2"/>
      <c r="C9" s="4"/>
      <c r="D9" s="5"/>
      <c r="E9" s="5" t="s">
        <v>12</v>
      </c>
      <c r="F9" s="4" t="n">
        <f aca="false">SUM(F4:F7)</f>
        <v>610461.538461539</v>
      </c>
    </row>
    <row r="10" customFormat="false" ht="15" hidden="false" customHeight="false" outlineLevel="0" collapsed="false">
      <c r="A10" s="2"/>
      <c r="C10" s="4"/>
      <c r="D10" s="5"/>
      <c r="E10" s="5" t="s">
        <v>13</v>
      </c>
      <c r="F10" s="4" t="n">
        <f aca="false">F9/4</f>
        <v>152615.384615385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3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C26" activeCellId="0" sqref="C26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3.86"/>
    <col collapsed="false" customWidth="true" hidden="false" outlineLevel="0" max="2" min="2" style="1" width="22.71"/>
    <col collapsed="false" customWidth="true" hidden="false" outlineLevel="0" max="3" min="3" style="1" width="25.14"/>
    <col collapsed="false" customWidth="true" hidden="false" outlineLevel="0" max="4" min="4" style="2" width="4.14"/>
    <col collapsed="false" customWidth="true" hidden="false" outlineLevel="0" max="6" min="5" style="5" width="10.14"/>
    <col collapsed="false" customWidth="false" hidden="false" outlineLevel="0" max="7" min="7" style="5" width="8.57"/>
    <col collapsed="false" customWidth="true" hidden="false" outlineLevel="0" max="8" min="8" style="5" width="13.15"/>
    <col collapsed="false" customWidth="true" hidden="false" outlineLevel="0" max="9" min="9" style="5" width="10.14"/>
    <col collapsed="false" customWidth="true" hidden="false" outlineLevel="0" max="10" min="10" style="2" width="10.14"/>
    <col collapsed="false" customWidth="true" hidden="false" outlineLevel="0" max="11" min="11" style="2" width="9.42"/>
    <col collapsed="false" customWidth="true" hidden="false" outlineLevel="0" max="12" min="12" style="2" width="10.14"/>
    <col collapsed="false" customWidth="true" hidden="false" outlineLevel="0" max="13" min="13" style="2" width="11.71"/>
    <col collapsed="false" customWidth="true" hidden="false" outlineLevel="0" max="14" min="14" style="2" width="9.14"/>
    <col collapsed="false" customWidth="true" hidden="false" outlineLevel="0" max="15" min="15" style="2" width="12.42"/>
    <col collapsed="false" customWidth="true" hidden="false" outlineLevel="0" max="16" min="16" style="2" width="11.43"/>
    <col collapsed="false" customWidth="true" hidden="false" outlineLevel="0" max="17" min="17" style="2" width="10.85"/>
    <col collapsed="false" customWidth="true" hidden="false" outlineLevel="0" max="18" min="18" style="1" width="10.57"/>
    <col collapsed="false" customWidth="true" hidden="false" outlineLevel="0" max="19" min="19" style="1" width="10.14"/>
    <col collapsed="false" customWidth="true" hidden="false" outlineLevel="0" max="20" min="20" style="1" width="9.42"/>
    <col collapsed="false" customWidth="true" hidden="false" outlineLevel="0" max="21" min="21" style="1" width="11.29"/>
    <col collapsed="false" customWidth="false" hidden="false" outlineLevel="0" max="22" min="22" style="1" width="8.57"/>
    <col collapsed="false" customWidth="true" hidden="false" outlineLevel="0" max="23" min="23" style="1" width="10.14"/>
  </cols>
  <sheetData>
    <row r="1" customFormat="false" ht="15" hidden="false" customHeight="true" outlineLevel="0" collapsed="false">
      <c r="B1" s="1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7" t="s">
        <v>19</v>
      </c>
    </row>
    <row r="2" customFormat="false" ht="15" hidden="false" customHeight="true" outlineLevel="0" collapsed="false">
      <c r="E2" s="2"/>
      <c r="F2" s="2"/>
      <c r="G2" s="10"/>
      <c r="H2" s="2"/>
      <c r="I2" s="2"/>
    </row>
    <row r="3" customFormat="false" ht="15" hidden="false" customHeight="true" outlineLevel="0" collapsed="false">
      <c r="E3" s="10" t="n">
        <f aca="false">SUM(L7:L72)</f>
        <v>1722000</v>
      </c>
      <c r="F3" s="10" t="n">
        <f aca="false">SUM(M7:M72)</f>
        <v>1051124</v>
      </c>
      <c r="G3" s="8" t="n">
        <v>610500</v>
      </c>
      <c r="H3" s="10" t="n">
        <f aca="false">E3-F3-G3</f>
        <v>60376</v>
      </c>
      <c r="I3" s="10" t="n">
        <f aca="false">H3*26</f>
        <v>1569776</v>
      </c>
    </row>
    <row r="4" customFormat="false" ht="15" hidden="false" customHeight="true" outlineLevel="0" collapsed="false">
      <c r="R4" s="2"/>
      <c r="S4" s="2"/>
      <c r="T4" s="2"/>
      <c r="U4" s="10"/>
      <c r="V4" s="2"/>
      <c r="W4" s="2"/>
    </row>
    <row r="5" customFormat="false" ht="15" hidden="false" customHeight="true" outlineLevel="0" collapsed="false">
      <c r="R5" s="2"/>
      <c r="S5" s="2"/>
      <c r="T5" s="2"/>
      <c r="U5" s="10"/>
      <c r="V5" s="2"/>
      <c r="W5" s="2"/>
    </row>
    <row r="6" s="15" customFormat="true" ht="30" hidden="false" customHeight="true" outlineLevel="0" collapsed="false">
      <c r="A6" s="11" t="s">
        <v>20</v>
      </c>
      <c r="B6" s="11" t="s">
        <v>21</v>
      </c>
      <c r="C6" s="11" t="s">
        <v>22</v>
      </c>
      <c r="D6" s="11" t="s">
        <v>23</v>
      </c>
      <c r="E6" s="12" t="s">
        <v>16</v>
      </c>
      <c r="F6" s="12" t="s">
        <v>24</v>
      </c>
      <c r="G6" s="12" t="s">
        <v>25</v>
      </c>
      <c r="H6" s="12" t="s">
        <v>26</v>
      </c>
      <c r="I6" s="12" t="s">
        <v>27</v>
      </c>
      <c r="J6" s="13" t="s">
        <v>28</v>
      </c>
      <c r="K6" s="11" t="s">
        <v>29</v>
      </c>
      <c r="L6" s="11" t="s">
        <v>30</v>
      </c>
      <c r="M6" s="11" t="s">
        <v>31</v>
      </c>
      <c r="N6" s="14" t="s">
        <v>32</v>
      </c>
      <c r="O6" s="14" t="s">
        <v>33</v>
      </c>
      <c r="P6" s="14" t="s">
        <v>34</v>
      </c>
      <c r="Q6" s="11"/>
    </row>
    <row r="7" customFormat="false" ht="15" hidden="false" customHeight="true" outlineLevel="0" collapsed="false">
      <c r="A7" s="1" t="n">
        <v>1</v>
      </c>
      <c r="B7" s="1" t="s">
        <v>35</v>
      </c>
      <c r="C7" s="1" t="s">
        <v>36</v>
      </c>
      <c r="D7" s="2" t="n">
        <v>4</v>
      </c>
      <c r="E7" s="5" t="n">
        <v>1761</v>
      </c>
      <c r="F7" s="5" t="n">
        <f aca="false">E7*D7</f>
        <v>7044</v>
      </c>
      <c r="G7" s="5" t="n">
        <v>834</v>
      </c>
      <c r="H7" s="5" t="n">
        <v>2100</v>
      </c>
      <c r="I7" s="5" t="n">
        <f aca="false">SUM(F7:H8)</f>
        <v>10791</v>
      </c>
      <c r="J7" s="16" t="n">
        <v>16000</v>
      </c>
      <c r="K7" s="2" t="n">
        <v>10</v>
      </c>
      <c r="L7" s="17" t="n">
        <f aca="false">J7*K7</f>
        <v>160000</v>
      </c>
      <c r="M7" s="17" t="n">
        <f aca="false">I7*K7</f>
        <v>107910</v>
      </c>
      <c r="N7" s="18" t="n">
        <f aca="false">L7-M7</f>
        <v>52090</v>
      </c>
      <c r="O7" s="18" t="n">
        <f aca="false">H7*K7</f>
        <v>21000</v>
      </c>
      <c r="P7" s="19" t="n">
        <f aca="false">K7*D7</f>
        <v>40</v>
      </c>
    </row>
    <row r="8" customFormat="false" ht="15" hidden="false" customHeight="true" outlineLevel="0" collapsed="false">
      <c r="C8" s="1" t="s">
        <v>37</v>
      </c>
      <c r="D8" s="2" t="n">
        <v>1</v>
      </c>
      <c r="E8" s="5" t="n">
        <v>713</v>
      </c>
      <c r="F8" s="5" t="n">
        <f aca="false">E8*D8</f>
        <v>713</v>
      </c>
      <c r="G8" s="5" t="n">
        <v>100</v>
      </c>
      <c r="J8" s="16"/>
      <c r="L8" s="17"/>
      <c r="M8" s="17"/>
      <c r="N8" s="18"/>
      <c r="O8" s="18"/>
      <c r="P8" s="19"/>
    </row>
    <row r="9" customFormat="false" ht="15" hidden="false" customHeight="true" outlineLevel="0" collapsed="false">
      <c r="J9" s="16"/>
      <c r="L9" s="17"/>
      <c r="M9" s="17"/>
      <c r="N9" s="18"/>
      <c r="O9" s="18"/>
      <c r="P9" s="19"/>
    </row>
    <row r="10" customFormat="false" ht="15" hidden="false" customHeight="true" outlineLevel="0" collapsed="false">
      <c r="A10" s="1" t="n">
        <v>2</v>
      </c>
      <c r="B10" s="1" t="s">
        <v>38</v>
      </c>
      <c r="C10" s="1" t="s">
        <v>36</v>
      </c>
      <c r="D10" s="2" t="n">
        <v>6</v>
      </c>
      <c r="E10" s="5" t="n">
        <v>1761</v>
      </c>
      <c r="F10" s="5" t="n">
        <f aca="false">E10*D10</f>
        <v>10566</v>
      </c>
      <c r="G10" s="5" t="n">
        <v>834</v>
      </c>
      <c r="H10" s="5" t="n">
        <v>2500</v>
      </c>
      <c r="I10" s="5" t="n">
        <f aca="false">SUM(F10:H11)</f>
        <v>14713</v>
      </c>
      <c r="J10" s="16" t="n">
        <v>22000</v>
      </c>
      <c r="K10" s="2" t="n">
        <v>3</v>
      </c>
      <c r="L10" s="17" t="n">
        <f aca="false">J10*K10</f>
        <v>66000</v>
      </c>
      <c r="M10" s="17" t="n">
        <f aca="false">I10*K10</f>
        <v>44139</v>
      </c>
      <c r="N10" s="18" t="n">
        <f aca="false">L10-M10</f>
        <v>21861</v>
      </c>
      <c r="O10" s="18" t="n">
        <f aca="false">H10*K10</f>
        <v>7500</v>
      </c>
      <c r="P10" s="19" t="n">
        <f aca="false">K10*D10</f>
        <v>18</v>
      </c>
    </row>
    <row r="11" customFormat="false" ht="15" hidden="false" customHeight="true" outlineLevel="0" collapsed="false">
      <c r="C11" s="1" t="s">
        <v>37</v>
      </c>
      <c r="D11" s="2" t="n">
        <v>1</v>
      </c>
      <c r="E11" s="5" t="n">
        <v>713</v>
      </c>
      <c r="F11" s="5" t="n">
        <f aca="false">E11*D11</f>
        <v>713</v>
      </c>
      <c r="G11" s="5" t="n">
        <v>100</v>
      </c>
      <c r="J11" s="16"/>
      <c r="L11" s="17"/>
      <c r="M11" s="17"/>
      <c r="N11" s="18"/>
      <c r="O11" s="18"/>
      <c r="P11" s="19"/>
    </row>
    <row r="12" customFormat="false" ht="15" hidden="false" customHeight="true" outlineLevel="0" collapsed="false">
      <c r="J12" s="16"/>
      <c r="L12" s="17"/>
      <c r="M12" s="17"/>
      <c r="N12" s="18"/>
      <c r="O12" s="18"/>
      <c r="P12" s="19"/>
    </row>
    <row r="13" customFormat="false" ht="15" hidden="false" customHeight="true" outlineLevel="0" collapsed="false">
      <c r="A13" s="1" t="n">
        <v>3</v>
      </c>
      <c r="B13" s="1" t="s">
        <v>39</v>
      </c>
      <c r="C13" s="1" t="s">
        <v>36</v>
      </c>
      <c r="D13" s="2" t="n">
        <v>8</v>
      </c>
      <c r="E13" s="5" t="n">
        <v>1761</v>
      </c>
      <c r="F13" s="5" t="n">
        <f aca="false">E13*D13</f>
        <v>14088</v>
      </c>
      <c r="G13" s="5" t="n">
        <v>834</v>
      </c>
      <c r="H13" s="5" t="n">
        <v>2500</v>
      </c>
      <c r="I13" s="5" t="n">
        <f aca="false">SUM(F13:H14)</f>
        <v>18235</v>
      </c>
      <c r="J13" s="16" t="n">
        <v>28000</v>
      </c>
      <c r="K13" s="2" t="n">
        <v>2</v>
      </c>
      <c r="L13" s="17" t="n">
        <f aca="false">J13*K13</f>
        <v>56000</v>
      </c>
      <c r="M13" s="17" t="n">
        <f aca="false">I13*K13</f>
        <v>36470</v>
      </c>
      <c r="N13" s="18" t="n">
        <f aca="false">L13-M13</f>
        <v>19530</v>
      </c>
      <c r="O13" s="18" t="n">
        <f aca="false">H13*K13</f>
        <v>5000</v>
      </c>
      <c r="P13" s="19" t="n">
        <f aca="false">K13*D13</f>
        <v>16</v>
      </c>
    </row>
    <row r="14" customFormat="false" ht="15" hidden="false" customHeight="true" outlineLevel="0" collapsed="false">
      <c r="C14" s="1" t="s">
        <v>37</v>
      </c>
      <c r="D14" s="2" t="n">
        <v>1</v>
      </c>
      <c r="E14" s="5" t="n">
        <v>713</v>
      </c>
      <c r="F14" s="5" t="n">
        <f aca="false">E14*D14</f>
        <v>713</v>
      </c>
      <c r="G14" s="5" t="n">
        <v>100</v>
      </c>
      <c r="J14" s="16"/>
      <c r="L14" s="17"/>
      <c r="M14" s="17"/>
      <c r="N14" s="18"/>
      <c r="O14" s="18"/>
      <c r="P14" s="19"/>
    </row>
    <row r="15" customFormat="false" ht="15" hidden="false" customHeight="true" outlineLevel="0" collapsed="false">
      <c r="J15" s="16"/>
      <c r="L15" s="17"/>
      <c r="M15" s="17"/>
      <c r="N15" s="18"/>
      <c r="O15" s="18"/>
      <c r="P15" s="19"/>
    </row>
    <row r="16" customFormat="false" ht="15" hidden="false" customHeight="true" outlineLevel="0" collapsed="false">
      <c r="A16" s="1" t="n">
        <v>4</v>
      </c>
      <c r="B16" s="1" t="s">
        <v>40</v>
      </c>
      <c r="C16" s="1" t="s">
        <v>36</v>
      </c>
      <c r="D16" s="2" t="n">
        <v>4</v>
      </c>
      <c r="E16" s="5" t="n">
        <v>1761</v>
      </c>
      <c r="F16" s="5" t="n">
        <f aca="false">E16*D16</f>
        <v>7044</v>
      </c>
      <c r="G16" s="5" t="n">
        <v>834</v>
      </c>
      <c r="H16" s="5" t="n">
        <v>2500</v>
      </c>
      <c r="I16" s="5" t="n">
        <f aca="false">SUM(F16:H18)</f>
        <v>14387</v>
      </c>
      <c r="J16" s="16" t="n">
        <v>20000</v>
      </c>
      <c r="K16" s="2" t="n">
        <v>5</v>
      </c>
      <c r="L16" s="17" t="n">
        <f aca="false">J16*K16</f>
        <v>100000</v>
      </c>
      <c r="M16" s="17" t="n">
        <f aca="false">I16*K16</f>
        <v>71935</v>
      </c>
      <c r="N16" s="18" t="n">
        <f aca="false">L16-M16</f>
        <v>28065</v>
      </c>
      <c r="O16" s="18" t="n">
        <f aca="false">H16*K16</f>
        <v>12500</v>
      </c>
      <c r="P16" s="19" t="n">
        <f aca="false">K16*D16</f>
        <v>20</v>
      </c>
    </row>
    <row r="17" customFormat="false" ht="15" hidden="false" customHeight="true" outlineLevel="0" collapsed="false">
      <c r="C17" s="1" t="s">
        <v>41</v>
      </c>
      <c r="D17" s="2" t="n">
        <v>4</v>
      </c>
      <c r="E17" s="5" t="n">
        <v>799</v>
      </c>
      <c r="F17" s="5" t="n">
        <f aca="false">E17*D17</f>
        <v>3196</v>
      </c>
      <c r="J17" s="16"/>
      <c r="L17" s="17"/>
      <c r="M17" s="17"/>
      <c r="N17" s="18"/>
      <c r="O17" s="18"/>
      <c r="P17" s="19"/>
    </row>
    <row r="18" customFormat="false" ht="15" hidden="false" customHeight="true" outlineLevel="0" collapsed="false">
      <c r="C18" s="1" t="s">
        <v>37</v>
      </c>
      <c r="D18" s="2" t="n">
        <v>1</v>
      </c>
      <c r="E18" s="5" t="n">
        <v>713</v>
      </c>
      <c r="F18" s="5" t="n">
        <f aca="false">E18*D18</f>
        <v>713</v>
      </c>
      <c r="G18" s="5" t="n">
        <v>100</v>
      </c>
      <c r="J18" s="16"/>
      <c r="L18" s="17"/>
      <c r="M18" s="17"/>
      <c r="N18" s="18"/>
      <c r="O18" s="18"/>
      <c r="P18" s="19"/>
    </row>
    <row r="19" customFormat="false" ht="15" hidden="false" customHeight="true" outlineLevel="0" collapsed="false">
      <c r="J19" s="16"/>
      <c r="L19" s="17"/>
      <c r="M19" s="17"/>
      <c r="N19" s="18"/>
      <c r="O19" s="18"/>
      <c r="P19" s="19"/>
    </row>
    <row r="20" customFormat="false" ht="15" hidden="false" customHeight="true" outlineLevel="0" collapsed="false">
      <c r="A20" s="1" t="n">
        <v>5</v>
      </c>
      <c r="B20" s="1" t="s">
        <v>42</v>
      </c>
      <c r="C20" s="1" t="s">
        <v>36</v>
      </c>
      <c r="D20" s="2" t="n">
        <v>6</v>
      </c>
      <c r="E20" s="5" t="n">
        <v>1761</v>
      </c>
      <c r="F20" s="5" t="n">
        <f aca="false">E20*D20</f>
        <v>10566</v>
      </c>
      <c r="G20" s="5" t="n">
        <v>834</v>
      </c>
      <c r="H20" s="5" t="n">
        <v>2500</v>
      </c>
      <c r="I20" s="5" t="n">
        <f aca="false">SUM(F20:H22)</f>
        <v>19507</v>
      </c>
      <c r="J20" s="16" t="n">
        <v>26000</v>
      </c>
      <c r="K20" s="2" t="n">
        <v>1</v>
      </c>
      <c r="L20" s="17" t="n">
        <f aca="false">J20*K20</f>
        <v>26000</v>
      </c>
      <c r="M20" s="17" t="n">
        <f aca="false">I20*K20</f>
        <v>19507</v>
      </c>
      <c r="N20" s="18" t="n">
        <f aca="false">L20-M20</f>
        <v>6493</v>
      </c>
      <c r="O20" s="18" t="n">
        <f aca="false">H20*K20</f>
        <v>2500</v>
      </c>
      <c r="P20" s="19" t="n">
        <f aca="false">K20*D20</f>
        <v>6</v>
      </c>
    </row>
    <row r="21" customFormat="false" ht="15" hidden="false" customHeight="true" outlineLevel="0" collapsed="false">
      <c r="C21" s="1" t="s">
        <v>41</v>
      </c>
      <c r="D21" s="2" t="n">
        <v>6</v>
      </c>
      <c r="E21" s="5" t="n">
        <v>799</v>
      </c>
      <c r="F21" s="5" t="n">
        <f aca="false">E21*D21</f>
        <v>4794</v>
      </c>
      <c r="J21" s="16"/>
      <c r="L21" s="17"/>
      <c r="M21" s="17"/>
      <c r="N21" s="18"/>
      <c r="O21" s="18"/>
      <c r="P21" s="19"/>
    </row>
    <row r="22" customFormat="false" ht="15" hidden="false" customHeight="true" outlineLevel="0" collapsed="false">
      <c r="C22" s="1" t="s">
        <v>37</v>
      </c>
      <c r="D22" s="2" t="n">
        <v>1</v>
      </c>
      <c r="E22" s="5" t="n">
        <v>713</v>
      </c>
      <c r="F22" s="5" t="n">
        <f aca="false">E22*D22</f>
        <v>713</v>
      </c>
      <c r="G22" s="5" t="n">
        <v>100</v>
      </c>
      <c r="J22" s="16"/>
      <c r="L22" s="17"/>
      <c r="M22" s="17"/>
      <c r="N22" s="18"/>
      <c r="O22" s="18"/>
      <c r="P22" s="19"/>
    </row>
    <row r="23" customFormat="false" ht="15" hidden="false" customHeight="true" outlineLevel="0" collapsed="false">
      <c r="J23" s="16"/>
      <c r="L23" s="17"/>
      <c r="M23" s="17"/>
      <c r="N23" s="18"/>
      <c r="O23" s="18"/>
      <c r="P23" s="19"/>
    </row>
    <row r="24" customFormat="false" ht="15" hidden="false" customHeight="true" outlineLevel="0" collapsed="false">
      <c r="A24" s="1" t="n">
        <v>8</v>
      </c>
      <c r="B24" s="1" t="s">
        <v>43</v>
      </c>
      <c r="C24" s="1" t="s">
        <v>36</v>
      </c>
      <c r="D24" s="2" t="n">
        <v>8</v>
      </c>
      <c r="E24" s="5" t="n">
        <v>1761</v>
      </c>
      <c r="F24" s="5" t="n">
        <f aca="false">E24*D24</f>
        <v>14088</v>
      </c>
      <c r="G24" s="5" t="n">
        <v>834</v>
      </c>
      <c r="H24" s="5" t="n">
        <v>2500</v>
      </c>
      <c r="I24" s="5" t="n">
        <f aca="false">SUM(F24:H26)</f>
        <v>24627</v>
      </c>
      <c r="J24" s="16" t="n">
        <v>36000</v>
      </c>
      <c r="K24" s="2" t="n">
        <v>1</v>
      </c>
      <c r="L24" s="17" t="n">
        <f aca="false">J24*K24</f>
        <v>36000</v>
      </c>
      <c r="M24" s="17" t="n">
        <f aca="false">I24*K24</f>
        <v>24627</v>
      </c>
      <c r="N24" s="18" t="n">
        <f aca="false">L24-M24</f>
        <v>11373</v>
      </c>
      <c r="O24" s="18" t="n">
        <f aca="false">H24*K24</f>
        <v>2500</v>
      </c>
      <c r="P24" s="19" t="n">
        <f aca="false">K24*D24</f>
        <v>8</v>
      </c>
    </row>
    <row r="25" customFormat="false" ht="15" hidden="false" customHeight="true" outlineLevel="0" collapsed="false">
      <c r="C25" s="1" t="s">
        <v>41</v>
      </c>
      <c r="D25" s="2" t="n">
        <v>8</v>
      </c>
      <c r="E25" s="5" t="n">
        <v>799</v>
      </c>
      <c r="F25" s="5" t="n">
        <f aca="false">E25*D25</f>
        <v>6392</v>
      </c>
      <c r="J25" s="16"/>
      <c r="L25" s="17"/>
      <c r="M25" s="17"/>
      <c r="N25" s="18"/>
      <c r="O25" s="18"/>
      <c r="P25" s="19"/>
    </row>
    <row r="26" customFormat="false" ht="15" hidden="false" customHeight="true" outlineLevel="0" collapsed="false">
      <c r="C26" s="1" t="s">
        <v>37</v>
      </c>
      <c r="D26" s="2" t="n">
        <v>1</v>
      </c>
      <c r="E26" s="5" t="n">
        <v>713</v>
      </c>
      <c r="F26" s="5" t="n">
        <f aca="false">E26*D26</f>
        <v>713</v>
      </c>
      <c r="G26" s="5" t="n">
        <v>100</v>
      </c>
      <c r="J26" s="16"/>
      <c r="L26" s="17"/>
      <c r="M26" s="17"/>
      <c r="N26" s="18"/>
      <c r="O26" s="18"/>
      <c r="P26" s="19"/>
    </row>
    <row r="27" customFormat="false" ht="15" hidden="false" customHeight="true" outlineLevel="0" collapsed="false">
      <c r="J27" s="16"/>
      <c r="L27" s="17"/>
      <c r="M27" s="17"/>
      <c r="N27" s="18"/>
      <c r="O27" s="18"/>
      <c r="P27" s="19"/>
    </row>
    <row r="28" customFormat="false" ht="15" hidden="false" customHeight="true" outlineLevel="0" collapsed="false">
      <c r="A28" s="1" t="n">
        <v>9</v>
      </c>
      <c r="B28" s="1" t="s">
        <v>44</v>
      </c>
      <c r="C28" s="1" t="s">
        <v>45</v>
      </c>
      <c r="D28" s="2" t="n">
        <v>4</v>
      </c>
      <c r="E28" s="5" t="n">
        <v>2045</v>
      </c>
      <c r="F28" s="5" t="n">
        <f aca="false">E28*D28</f>
        <v>8180</v>
      </c>
      <c r="G28" s="5" t="n">
        <v>834</v>
      </c>
      <c r="H28" s="5" t="n">
        <v>2500</v>
      </c>
      <c r="I28" s="5" t="n">
        <f aca="false">SUM(F28:H29)</f>
        <v>12327</v>
      </c>
      <c r="J28" s="16" t="n">
        <v>22000</v>
      </c>
      <c r="K28" s="2" t="n">
        <v>2</v>
      </c>
      <c r="L28" s="17" t="n">
        <f aca="false">J28*K28</f>
        <v>44000</v>
      </c>
      <c r="M28" s="17" t="n">
        <f aca="false">I28*K28</f>
        <v>24654</v>
      </c>
      <c r="N28" s="18" t="n">
        <f aca="false">L28-M28</f>
        <v>19346</v>
      </c>
      <c r="O28" s="18" t="n">
        <f aca="false">H28*K28</f>
        <v>5000</v>
      </c>
      <c r="P28" s="19" t="n">
        <f aca="false">K28*D28</f>
        <v>8</v>
      </c>
    </row>
    <row r="29" customFormat="false" ht="15" hidden="false" customHeight="true" outlineLevel="0" collapsed="false">
      <c r="C29" s="1" t="s">
        <v>37</v>
      </c>
      <c r="D29" s="2" t="n">
        <v>1</v>
      </c>
      <c r="E29" s="5" t="n">
        <v>713</v>
      </c>
      <c r="F29" s="5" t="n">
        <f aca="false">E29*D29</f>
        <v>713</v>
      </c>
      <c r="G29" s="5" t="n">
        <v>100</v>
      </c>
      <c r="J29" s="16"/>
      <c r="L29" s="17"/>
      <c r="M29" s="17"/>
      <c r="N29" s="18"/>
      <c r="O29" s="18"/>
      <c r="P29" s="19"/>
    </row>
    <row r="30" customFormat="false" ht="15" hidden="false" customHeight="true" outlineLevel="0" collapsed="false">
      <c r="J30" s="16"/>
      <c r="L30" s="17"/>
      <c r="M30" s="17"/>
      <c r="N30" s="18"/>
      <c r="O30" s="18"/>
      <c r="P30" s="19"/>
    </row>
    <row r="31" customFormat="false" ht="15" hidden="false" customHeight="true" outlineLevel="0" collapsed="false">
      <c r="A31" s="1" t="n">
        <v>10</v>
      </c>
      <c r="B31" s="1" t="s">
        <v>46</v>
      </c>
      <c r="C31" s="1" t="s">
        <v>45</v>
      </c>
      <c r="D31" s="2" t="n">
        <v>6</v>
      </c>
      <c r="E31" s="5" t="n">
        <v>2045</v>
      </c>
      <c r="F31" s="5" t="n">
        <f aca="false">E31*D31</f>
        <v>12270</v>
      </c>
      <c r="G31" s="5" t="n">
        <v>834</v>
      </c>
      <c r="H31" s="5" t="n">
        <v>2500</v>
      </c>
      <c r="I31" s="5" t="n">
        <f aca="false">SUM(F31:H32)</f>
        <v>16417</v>
      </c>
      <c r="J31" s="16" t="n">
        <v>31000</v>
      </c>
      <c r="K31" s="2" t="n">
        <v>1</v>
      </c>
      <c r="L31" s="17" t="n">
        <f aca="false">J31*K31</f>
        <v>31000</v>
      </c>
      <c r="M31" s="17" t="n">
        <f aca="false">I31*K31</f>
        <v>16417</v>
      </c>
      <c r="N31" s="18" t="n">
        <f aca="false">L31-M31</f>
        <v>14583</v>
      </c>
      <c r="O31" s="18" t="n">
        <f aca="false">H31*K31</f>
        <v>2500</v>
      </c>
      <c r="P31" s="19" t="n">
        <f aca="false">K31*D31</f>
        <v>6</v>
      </c>
    </row>
    <row r="32" customFormat="false" ht="15" hidden="false" customHeight="true" outlineLevel="0" collapsed="false">
      <c r="C32" s="1" t="s">
        <v>37</v>
      </c>
      <c r="D32" s="2" t="n">
        <v>1</v>
      </c>
      <c r="E32" s="5" t="n">
        <v>713</v>
      </c>
      <c r="F32" s="5" t="n">
        <f aca="false">E32*D32</f>
        <v>713</v>
      </c>
      <c r="G32" s="5" t="n">
        <v>100</v>
      </c>
      <c r="J32" s="16"/>
      <c r="L32" s="17"/>
      <c r="M32" s="17"/>
      <c r="N32" s="18"/>
      <c r="O32" s="18"/>
      <c r="P32" s="19"/>
    </row>
    <row r="33" customFormat="false" ht="15" hidden="false" customHeight="true" outlineLevel="0" collapsed="false">
      <c r="J33" s="16"/>
      <c r="L33" s="17"/>
      <c r="M33" s="17"/>
      <c r="N33" s="18"/>
      <c r="O33" s="18"/>
      <c r="P33" s="19"/>
    </row>
    <row r="34" customFormat="false" ht="15" hidden="false" customHeight="true" outlineLevel="0" collapsed="false">
      <c r="A34" s="1" t="n">
        <v>11</v>
      </c>
      <c r="B34" s="1" t="s">
        <v>47</v>
      </c>
      <c r="C34" s="1" t="s">
        <v>45</v>
      </c>
      <c r="D34" s="2" t="n">
        <v>8</v>
      </c>
      <c r="E34" s="5" t="n">
        <v>2045</v>
      </c>
      <c r="F34" s="5" t="n">
        <f aca="false">E34*D34</f>
        <v>16360</v>
      </c>
      <c r="G34" s="5" t="n">
        <v>834</v>
      </c>
      <c r="H34" s="5" t="n">
        <v>2500</v>
      </c>
      <c r="I34" s="5" t="n">
        <f aca="false">SUM(F34:H35)</f>
        <v>20507</v>
      </c>
      <c r="J34" s="16" t="n">
        <v>40000</v>
      </c>
      <c r="K34" s="2" t="n">
        <v>1</v>
      </c>
      <c r="L34" s="17" t="n">
        <f aca="false">J34*K34</f>
        <v>40000</v>
      </c>
      <c r="M34" s="17" t="n">
        <f aca="false">I34*K34</f>
        <v>20507</v>
      </c>
      <c r="N34" s="18" t="n">
        <f aca="false">L34-M34</f>
        <v>19493</v>
      </c>
      <c r="O34" s="18" t="n">
        <f aca="false">H34*K34</f>
        <v>2500</v>
      </c>
      <c r="P34" s="19" t="n">
        <f aca="false">K34*D34</f>
        <v>8</v>
      </c>
    </row>
    <row r="35" customFormat="false" ht="15" hidden="false" customHeight="true" outlineLevel="0" collapsed="false">
      <c r="C35" s="1" t="s">
        <v>37</v>
      </c>
      <c r="D35" s="2" t="n">
        <v>1</v>
      </c>
      <c r="E35" s="5" t="n">
        <v>713</v>
      </c>
      <c r="F35" s="5" t="n">
        <f aca="false">E35*D35</f>
        <v>713</v>
      </c>
      <c r="G35" s="5" t="n">
        <v>100</v>
      </c>
      <c r="J35" s="16"/>
      <c r="L35" s="17"/>
      <c r="M35" s="17"/>
      <c r="N35" s="18"/>
      <c r="O35" s="18"/>
      <c r="P35" s="19"/>
    </row>
    <row r="36" customFormat="false" ht="15" hidden="false" customHeight="true" outlineLevel="0" collapsed="false">
      <c r="J36" s="16"/>
      <c r="L36" s="17"/>
      <c r="M36" s="17"/>
      <c r="N36" s="18"/>
      <c r="O36" s="18"/>
      <c r="P36" s="19"/>
    </row>
    <row r="37" customFormat="false" ht="15" hidden="false" customHeight="true" outlineLevel="0" collapsed="false">
      <c r="A37" s="1" t="n">
        <v>12</v>
      </c>
      <c r="B37" s="1" t="s">
        <v>48</v>
      </c>
      <c r="C37" s="1" t="s">
        <v>36</v>
      </c>
      <c r="D37" s="2" t="n">
        <v>4</v>
      </c>
      <c r="E37" s="5" t="n">
        <v>1761</v>
      </c>
      <c r="F37" s="5" t="n">
        <f aca="false">E37*D37</f>
        <v>7044</v>
      </c>
      <c r="G37" s="5" t="n">
        <v>834</v>
      </c>
      <c r="H37" s="5" t="n">
        <v>2500</v>
      </c>
      <c r="I37" s="5" t="n">
        <f aca="false">SUM(F37:H41)</f>
        <v>19079</v>
      </c>
      <c r="J37" s="16" t="n">
        <v>29000</v>
      </c>
      <c r="K37" s="2" t="n">
        <v>1</v>
      </c>
      <c r="L37" s="17" t="n">
        <f aca="false">J37*K37</f>
        <v>29000</v>
      </c>
      <c r="M37" s="17" t="n">
        <f aca="false">I37*K37</f>
        <v>19079</v>
      </c>
      <c r="N37" s="18" t="n">
        <f aca="false">L37-M37</f>
        <v>9921</v>
      </c>
      <c r="O37" s="18" t="n">
        <f aca="false">H37*K37</f>
        <v>2500</v>
      </c>
      <c r="P37" s="19" t="n">
        <f aca="false" t="array" ref="P37:P39">K37*D37:D39</f>
        <v>4</v>
      </c>
    </row>
    <row r="38" customFormat="false" ht="15" hidden="false" customHeight="true" outlineLevel="0" collapsed="false">
      <c r="C38" s="1" t="s">
        <v>45</v>
      </c>
      <c r="D38" s="2" t="n">
        <v>2</v>
      </c>
      <c r="E38" s="5" t="n">
        <v>2045</v>
      </c>
      <c r="F38" s="5" t="n">
        <f aca="false">E38*D38</f>
        <v>4090</v>
      </c>
      <c r="J38" s="16"/>
      <c r="L38" s="17"/>
      <c r="M38" s="17"/>
      <c r="N38" s="18"/>
      <c r="O38" s="18"/>
      <c r="P38" s="19" t="n">
        <v>2</v>
      </c>
    </row>
    <row r="39" customFormat="false" ht="15" hidden="false" customHeight="true" outlineLevel="0" collapsed="false">
      <c r="C39" s="1" t="s">
        <v>41</v>
      </c>
      <c r="D39" s="2" t="n">
        <v>2</v>
      </c>
      <c r="E39" s="5" t="n">
        <v>799</v>
      </c>
      <c r="F39" s="5" t="n">
        <f aca="false">E39*D39</f>
        <v>1598</v>
      </c>
      <c r="J39" s="16"/>
      <c r="L39" s="17"/>
      <c r="M39" s="17"/>
      <c r="N39" s="18"/>
      <c r="O39" s="18"/>
      <c r="P39" s="19" t="n">
        <v>2</v>
      </c>
    </row>
    <row r="40" customFormat="false" ht="15" hidden="false" customHeight="true" outlineLevel="0" collapsed="false">
      <c r="C40" s="1" t="s">
        <v>49</v>
      </c>
      <c r="D40" s="2" t="n">
        <v>2</v>
      </c>
      <c r="E40" s="5" t="n">
        <v>1100</v>
      </c>
      <c r="F40" s="5" t="n">
        <f aca="false">E40*D40</f>
        <v>2200</v>
      </c>
      <c r="J40" s="16"/>
      <c r="L40" s="17"/>
      <c r="M40" s="17"/>
      <c r="N40" s="18"/>
      <c r="O40" s="18"/>
      <c r="P40" s="19"/>
    </row>
    <row r="41" customFormat="false" ht="15" hidden="false" customHeight="true" outlineLevel="0" collapsed="false">
      <c r="C41" s="1" t="s">
        <v>37</v>
      </c>
      <c r="D41" s="2" t="n">
        <v>1</v>
      </c>
      <c r="E41" s="5" t="n">
        <v>713</v>
      </c>
      <c r="F41" s="5" t="n">
        <f aca="false">E41*D41</f>
        <v>713</v>
      </c>
      <c r="G41" s="5" t="n">
        <v>100</v>
      </c>
      <c r="J41" s="16"/>
      <c r="L41" s="17"/>
      <c r="M41" s="17"/>
      <c r="N41" s="18"/>
      <c r="O41" s="18"/>
      <c r="P41" s="19"/>
    </row>
    <row r="42" customFormat="false" ht="15" hidden="false" customHeight="true" outlineLevel="0" collapsed="false">
      <c r="J42" s="16"/>
      <c r="L42" s="17"/>
      <c r="M42" s="17"/>
      <c r="N42" s="18"/>
      <c r="O42" s="18"/>
      <c r="P42" s="19"/>
    </row>
    <row r="43" customFormat="false" ht="15" hidden="false" customHeight="true" outlineLevel="0" collapsed="false">
      <c r="A43" s="1" t="n">
        <v>13</v>
      </c>
      <c r="B43" s="1" t="s">
        <v>50</v>
      </c>
      <c r="C43" s="1" t="s">
        <v>36</v>
      </c>
      <c r="D43" s="2" t="n">
        <v>6</v>
      </c>
      <c r="E43" s="5" t="n">
        <v>1761</v>
      </c>
      <c r="F43" s="5" t="n">
        <f aca="false">E43*D43</f>
        <v>10566</v>
      </c>
      <c r="G43" s="5" t="n">
        <v>834</v>
      </c>
      <c r="H43" s="5" t="n">
        <v>2500</v>
      </c>
      <c r="I43" s="5" t="n">
        <f aca="false">SUM(F43:H47)</f>
        <v>24500</v>
      </c>
      <c r="J43" s="16" t="n">
        <v>40000</v>
      </c>
      <c r="K43" s="2" t="n">
        <v>1</v>
      </c>
      <c r="L43" s="17" t="n">
        <f aca="false">J43*K43</f>
        <v>40000</v>
      </c>
      <c r="M43" s="17" t="n">
        <f aca="false">I43*K43</f>
        <v>24500</v>
      </c>
      <c r="N43" s="18" t="n">
        <f aca="false">L43-M43</f>
        <v>15500</v>
      </c>
      <c r="O43" s="18" t="n">
        <f aca="false">H43*K43</f>
        <v>2500</v>
      </c>
      <c r="P43" s="19" t="n">
        <f aca="false" t="array" ref="P43:P45">K43*D43:D45</f>
        <v>6</v>
      </c>
    </row>
    <row r="44" customFormat="false" ht="15" hidden="false" customHeight="true" outlineLevel="0" collapsed="false">
      <c r="C44" s="1" t="s">
        <v>45</v>
      </c>
      <c r="D44" s="2" t="n">
        <v>2</v>
      </c>
      <c r="E44" s="5" t="n">
        <v>2045</v>
      </c>
      <c r="F44" s="5" t="n">
        <f aca="false">E44*D44</f>
        <v>4090</v>
      </c>
      <c r="J44" s="16"/>
      <c r="L44" s="17"/>
      <c r="M44" s="17"/>
      <c r="N44" s="18"/>
      <c r="O44" s="18"/>
      <c r="P44" s="19" t="n">
        <v>2</v>
      </c>
    </row>
    <row r="45" customFormat="false" ht="15" hidden="false" customHeight="true" outlineLevel="0" collapsed="false">
      <c r="C45" s="1" t="s">
        <v>41</v>
      </c>
      <c r="D45" s="2" t="n">
        <v>3</v>
      </c>
      <c r="E45" s="5" t="n">
        <v>799</v>
      </c>
      <c r="F45" s="5" t="n">
        <f aca="false">E45*D45</f>
        <v>2397</v>
      </c>
      <c r="J45" s="16"/>
      <c r="L45" s="17"/>
      <c r="M45" s="17"/>
      <c r="N45" s="18"/>
      <c r="O45" s="18"/>
      <c r="P45" s="19" t="n">
        <v>3</v>
      </c>
    </row>
    <row r="46" customFormat="false" ht="15" hidden="false" customHeight="true" outlineLevel="0" collapsed="false">
      <c r="C46" s="1" t="s">
        <v>49</v>
      </c>
      <c r="D46" s="2" t="n">
        <v>3</v>
      </c>
      <c r="E46" s="5" t="n">
        <v>1100</v>
      </c>
      <c r="F46" s="5" t="n">
        <f aca="false">E46*D46</f>
        <v>3300</v>
      </c>
      <c r="J46" s="16"/>
      <c r="L46" s="17"/>
      <c r="M46" s="17"/>
      <c r="N46" s="18"/>
      <c r="O46" s="18"/>
      <c r="P46" s="19"/>
    </row>
    <row r="47" customFormat="false" ht="15" hidden="false" customHeight="true" outlineLevel="0" collapsed="false">
      <c r="C47" s="1" t="s">
        <v>37</v>
      </c>
      <c r="D47" s="2" t="n">
        <v>1</v>
      </c>
      <c r="E47" s="5" t="n">
        <v>713</v>
      </c>
      <c r="F47" s="5" t="n">
        <f aca="false">E47*D47</f>
        <v>713</v>
      </c>
      <c r="G47" s="5" t="n">
        <v>100</v>
      </c>
      <c r="J47" s="16"/>
      <c r="L47" s="17"/>
      <c r="M47" s="17"/>
      <c r="N47" s="18"/>
      <c r="O47" s="18"/>
      <c r="P47" s="19"/>
    </row>
    <row r="48" customFormat="false" ht="15" hidden="false" customHeight="true" outlineLevel="0" collapsed="false">
      <c r="J48" s="16"/>
      <c r="L48" s="17"/>
      <c r="M48" s="17"/>
      <c r="N48" s="18"/>
      <c r="O48" s="18"/>
      <c r="P48" s="19"/>
    </row>
    <row r="49" customFormat="false" ht="15" hidden="false" customHeight="true" outlineLevel="0" collapsed="false">
      <c r="A49" s="1" t="n">
        <v>14</v>
      </c>
      <c r="B49" s="1" t="s">
        <v>51</v>
      </c>
      <c r="C49" s="1" t="s">
        <v>52</v>
      </c>
      <c r="D49" s="2" t="n">
        <v>3</v>
      </c>
      <c r="E49" s="5" t="n">
        <v>3339</v>
      </c>
      <c r="F49" s="5" t="n">
        <f aca="false">E49*D49</f>
        <v>10017</v>
      </c>
      <c r="G49" s="5" t="n">
        <v>834</v>
      </c>
      <c r="H49" s="5" t="n">
        <v>2500</v>
      </c>
      <c r="I49" s="5" t="n">
        <f aca="false">SUM(F49:H50)</f>
        <v>14164</v>
      </c>
      <c r="J49" s="16" t="n">
        <v>22000</v>
      </c>
      <c r="K49" s="2" t="n">
        <v>4</v>
      </c>
      <c r="L49" s="17" t="n">
        <f aca="false">J49*K49</f>
        <v>88000</v>
      </c>
      <c r="M49" s="17" t="n">
        <f aca="false">I49*K49</f>
        <v>56656</v>
      </c>
      <c r="N49" s="18" t="n">
        <f aca="false">L49-M49</f>
        <v>31344</v>
      </c>
      <c r="O49" s="18" t="n">
        <f aca="false">H49*K49</f>
        <v>10000</v>
      </c>
      <c r="P49" s="19" t="n">
        <f aca="false">K49*D49</f>
        <v>12</v>
      </c>
    </row>
    <row r="50" customFormat="false" ht="15" hidden="false" customHeight="true" outlineLevel="0" collapsed="false">
      <c r="C50" s="1" t="s">
        <v>37</v>
      </c>
      <c r="D50" s="2" t="n">
        <v>1</v>
      </c>
      <c r="E50" s="5" t="n">
        <v>713</v>
      </c>
      <c r="F50" s="5" t="n">
        <f aca="false">E50*D50</f>
        <v>713</v>
      </c>
      <c r="G50" s="5" t="n">
        <v>100</v>
      </c>
      <c r="J50" s="16"/>
      <c r="L50" s="17"/>
      <c r="M50" s="17"/>
      <c r="N50" s="18"/>
      <c r="O50" s="18"/>
      <c r="P50" s="19"/>
    </row>
    <row r="51" customFormat="false" ht="15" hidden="false" customHeight="true" outlineLevel="0" collapsed="false">
      <c r="J51" s="16"/>
      <c r="L51" s="17"/>
      <c r="M51" s="17"/>
      <c r="N51" s="18"/>
      <c r="O51" s="18"/>
      <c r="P51" s="19"/>
    </row>
    <row r="52" customFormat="false" ht="15" hidden="false" customHeight="true" outlineLevel="0" collapsed="false">
      <c r="A52" s="1" t="n">
        <v>15</v>
      </c>
      <c r="B52" s="1" t="s">
        <v>53</v>
      </c>
      <c r="C52" s="1" t="s">
        <v>52</v>
      </c>
      <c r="D52" s="2" t="n">
        <v>5</v>
      </c>
      <c r="E52" s="5" t="n">
        <v>3339</v>
      </c>
      <c r="F52" s="5" t="n">
        <f aca="false">E52*D52</f>
        <v>16695</v>
      </c>
      <c r="G52" s="5" t="n">
        <v>834</v>
      </c>
      <c r="H52" s="5" t="n">
        <v>2500</v>
      </c>
      <c r="I52" s="5" t="n">
        <f aca="false">SUM(F52:H53)</f>
        <v>20842</v>
      </c>
      <c r="J52" s="16" t="n">
        <v>34000</v>
      </c>
      <c r="K52" s="2" t="n">
        <v>2</v>
      </c>
      <c r="L52" s="17" t="n">
        <f aca="false">J52*K52</f>
        <v>68000</v>
      </c>
      <c r="M52" s="17" t="n">
        <f aca="false">I52*K52</f>
        <v>41684</v>
      </c>
      <c r="N52" s="18" t="n">
        <f aca="false">L52-M52</f>
        <v>26316</v>
      </c>
      <c r="O52" s="18" t="n">
        <f aca="false">H52*K52</f>
        <v>5000</v>
      </c>
      <c r="P52" s="19" t="n">
        <f aca="false">K52*D52</f>
        <v>10</v>
      </c>
    </row>
    <row r="53" customFormat="false" ht="15" hidden="false" customHeight="true" outlineLevel="0" collapsed="false">
      <c r="C53" s="1" t="s">
        <v>37</v>
      </c>
      <c r="D53" s="2" t="n">
        <v>1</v>
      </c>
      <c r="E53" s="5" t="n">
        <v>713</v>
      </c>
      <c r="F53" s="5" t="n">
        <f aca="false">E53*D53</f>
        <v>713</v>
      </c>
      <c r="G53" s="5" t="n">
        <v>100</v>
      </c>
      <c r="J53" s="16"/>
      <c r="L53" s="17"/>
      <c r="M53" s="17"/>
      <c r="N53" s="18"/>
      <c r="O53" s="18"/>
      <c r="P53" s="19"/>
    </row>
    <row r="54" customFormat="false" ht="15" hidden="false" customHeight="true" outlineLevel="0" collapsed="false">
      <c r="J54" s="16"/>
      <c r="L54" s="17"/>
      <c r="M54" s="17"/>
      <c r="N54" s="18"/>
      <c r="O54" s="18"/>
      <c r="P54" s="19"/>
    </row>
    <row r="55" customFormat="false" ht="15" hidden="false" customHeight="true" outlineLevel="0" collapsed="false">
      <c r="A55" s="1" t="n">
        <v>16</v>
      </c>
      <c r="B55" s="1" t="s">
        <v>54</v>
      </c>
      <c r="C55" s="1" t="s">
        <v>52</v>
      </c>
      <c r="D55" s="2" t="n">
        <v>3</v>
      </c>
      <c r="E55" s="5" t="n">
        <v>3339</v>
      </c>
      <c r="F55" s="5" t="n">
        <f aca="false">E55*D55</f>
        <v>10017</v>
      </c>
      <c r="G55" s="5" t="n">
        <v>834</v>
      </c>
      <c r="H55" s="5" t="n">
        <v>2500</v>
      </c>
      <c r="I55" s="5" t="n">
        <f aca="false">SUM(F55:H57)</f>
        <v>16561</v>
      </c>
      <c r="J55" s="16" t="n">
        <v>26000</v>
      </c>
      <c r="K55" s="2" t="n">
        <v>2</v>
      </c>
      <c r="L55" s="17" t="n">
        <f aca="false">J55*K55</f>
        <v>52000</v>
      </c>
      <c r="M55" s="17" t="n">
        <f aca="false">I55*K55</f>
        <v>33122</v>
      </c>
      <c r="N55" s="18" t="n">
        <f aca="false">L55-M55</f>
        <v>18878</v>
      </c>
      <c r="O55" s="18" t="n">
        <f aca="false">H55*K55</f>
        <v>5000</v>
      </c>
      <c r="P55" s="19" t="n">
        <f aca="false">K55*D55</f>
        <v>6</v>
      </c>
    </row>
    <row r="56" customFormat="false" ht="15" hidden="false" customHeight="true" outlineLevel="0" collapsed="false">
      <c r="C56" s="1" t="s">
        <v>37</v>
      </c>
      <c r="D56" s="2" t="n">
        <v>1</v>
      </c>
      <c r="E56" s="5" t="n">
        <v>713</v>
      </c>
      <c r="F56" s="5" t="n">
        <f aca="false">E56*D56</f>
        <v>713</v>
      </c>
      <c r="G56" s="5" t="n">
        <v>100</v>
      </c>
      <c r="J56" s="16"/>
      <c r="L56" s="17"/>
      <c r="M56" s="17"/>
      <c r="N56" s="18"/>
      <c r="O56" s="18"/>
      <c r="P56" s="19"/>
    </row>
    <row r="57" customFormat="false" ht="15" hidden="false" customHeight="true" outlineLevel="0" collapsed="false">
      <c r="C57" s="1" t="s">
        <v>55</v>
      </c>
      <c r="D57" s="2" t="n">
        <v>3</v>
      </c>
      <c r="E57" s="5" t="n">
        <v>799</v>
      </c>
      <c r="F57" s="5" t="n">
        <f aca="false">E57*D57</f>
        <v>2397</v>
      </c>
      <c r="J57" s="16"/>
      <c r="L57" s="17"/>
      <c r="M57" s="17"/>
      <c r="N57" s="18"/>
      <c r="O57" s="18"/>
      <c r="P57" s="19"/>
    </row>
    <row r="58" customFormat="false" ht="15" hidden="false" customHeight="true" outlineLevel="0" collapsed="false">
      <c r="J58" s="16"/>
      <c r="L58" s="17"/>
      <c r="M58" s="17"/>
      <c r="N58" s="18"/>
      <c r="O58" s="18"/>
      <c r="P58" s="19"/>
    </row>
    <row r="59" customFormat="false" ht="15" hidden="false" customHeight="true" outlineLevel="0" collapsed="false">
      <c r="A59" s="1" t="n">
        <v>17</v>
      </c>
      <c r="B59" s="1" t="s">
        <v>56</v>
      </c>
      <c r="C59" s="1" t="s">
        <v>52</v>
      </c>
      <c r="D59" s="2" t="n">
        <v>5</v>
      </c>
      <c r="E59" s="5" t="n">
        <v>3339</v>
      </c>
      <c r="F59" s="5" t="n">
        <f aca="false">E59*D59</f>
        <v>16695</v>
      </c>
      <c r="G59" s="5" t="n">
        <v>834</v>
      </c>
      <c r="H59" s="5" t="n">
        <v>2500</v>
      </c>
      <c r="I59" s="5" t="n">
        <f aca="false">SUM(F59:H61)</f>
        <v>24837</v>
      </c>
      <c r="J59" s="16" t="n">
        <v>38000</v>
      </c>
      <c r="K59" s="2" t="n">
        <v>1</v>
      </c>
      <c r="L59" s="17" t="n">
        <f aca="false">J59*K59</f>
        <v>38000</v>
      </c>
      <c r="M59" s="17" t="n">
        <f aca="false">I59*K59</f>
        <v>24837</v>
      </c>
      <c r="N59" s="18" t="n">
        <f aca="false">L59-M59</f>
        <v>13163</v>
      </c>
      <c r="O59" s="18" t="n">
        <f aca="false">H59*K59</f>
        <v>2500</v>
      </c>
      <c r="P59" s="19" t="n">
        <f aca="false">K59*D59</f>
        <v>5</v>
      </c>
    </row>
    <row r="60" customFormat="false" ht="15" hidden="false" customHeight="true" outlineLevel="0" collapsed="false">
      <c r="C60" s="1" t="s">
        <v>37</v>
      </c>
      <c r="D60" s="2" t="n">
        <v>1</v>
      </c>
      <c r="E60" s="5" t="n">
        <v>713</v>
      </c>
      <c r="F60" s="5" t="n">
        <f aca="false">E60*D60</f>
        <v>713</v>
      </c>
      <c r="G60" s="5" t="n">
        <v>100</v>
      </c>
      <c r="J60" s="16"/>
      <c r="L60" s="17"/>
      <c r="M60" s="17"/>
      <c r="N60" s="18"/>
      <c r="O60" s="18"/>
      <c r="P60" s="19"/>
    </row>
    <row r="61" customFormat="false" ht="15" hidden="false" customHeight="true" outlineLevel="0" collapsed="false">
      <c r="C61" s="1" t="s">
        <v>55</v>
      </c>
      <c r="D61" s="2" t="n">
        <v>5</v>
      </c>
      <c r="E61" s="5" t="n">
        <v>799</v>
      </c>
      <c r="F61" s="5" t="n">
        <f aca="false">E61*D61</f>
        <v>3995</v>
      </c>
      <c r="J61" s="16"/>
      <c r="L61" s="17"/>
      <c r="M61" s="17"/>
      <c r="N61" s="18"/>
      <c r="O61" s="18"/>
      <c r="P61" s="19"/>
    </row>
    <row r="62" customFormat="false" ht="15" hidden="false" customHeight="true" outlineLevel="0" collapsed="false">
      <c r="J62" s="16"/>
      <c r="L62" s="17"/>
      <c r="M62" s="17"/>
      <c r="N62" s="18"/>
      <c r="O62" s="18"/>
      <c r="P62" s="19"/>
    </row>
    <row r="63" customFormat="false" ht="15" hidden="false" customHeight="true" outlineLevel="0" collapsed="false">
      <c r="A63" s="1" t="n">
        <v>18</v>
      </c>
      <c r="B63" s="1" t="s">
        <v>57</v>
      </c>
      <c r="C63" s="1" t="s">
        <v>58</v>
      </c>
      <c r="D63" s="2" t="n">
        <v>1</v>
      </c>
      <c r="E63" s="5" t="n">
        <v>9847</v>
      </c>
      <c r="F63" s="5" t="n">
        <f aca="false">E63*D63</f>
        <v>9847</v>
      </c>
      <c r="G63" s="5" t="n">
        <v>900</v>
      </c>
      <c r="H63" s="5" t="n">
        <v>2500</v>
      </c>
      <c r="I63" s="5" t="n">
        <f aca="false">SUM(F63:H64)</f>
        <v>15395</v>
      </c>
      <c r="J63" s="16" t="n">
        <v>26000</v>
      </c>
      <c r="K63" s="2" t="n">
        <v>8</v>
      </c>
      <c r="L63" s="17" t="n">
        <f aca="false">J63*K63</f>
        <v>208000</v>
      </c>
      <c r="M63" s="17" t="n">
        <f aca="false">I63*K63</f>
        <v>123160</v>
      </c>
      <c r="N63" s="18" t="n">
        <f aca="false">L63-M63</f>
        <v>84840</v>
      </c>
      <c r="O63" s="18" t="n">
        <f aca="false">H63*K63</f>
        <v>20000</v>
      </c>
      <c r="P63" s="19" t="n">
        <f aca="false">K63*D63</f>
        <v>8</v>
      </c>
    </row>
    <row r="64" customFormat="false" ht="15" hidden="false" customHeight="true" outlineLevel="0" collapsed="false">
      <c r="C64" s="1" t="s">
        <v>59</v>
      </c>
      <c r="D64" s="2" t="n">
        <v>1</v>
      </c>
      <c r="E64" s="5" t="n">
        <v>2148</v>
      </c>
      <c r="F64" s="5" t="n">
        <f aca="false">E64*D64</f>
        <v>2148</v>
      </c>
      <c r="J64" s="16"/>
      <c r="L64" s="17"/>
      <c r="M64" s="17"/>
      <c r="N64" s="18"/>
      <c r="O64" s="18"/>
      <c r="P64" s="19"/>
    </row>
    <row r="65" customFormat="false" ht="15" hidden="false" customHeight="true" outlineLevel="0" collapsed="false">
      <c r="J65" s="16"/>
      <c r="L65" s="17"/>
      <c r="M65" s="17"/>
      <c r="N65" s="18"/>
      <c r="O65" s="18"/>
      <c r="P65" s="19"/>
    </row>
    <row r="66" customFormat="false" ht="15" hidden="false" customHeight="true" outlineLevel="0" collapsed="false">
      <c r="A66" s="1" t="n">
        <v>18</v>
      </c>
      <c r="B66" s="1" t="s">
        <v>60</v>
      </c>
      <c r="C66" s="1" t="s">
        <v>58</v>
      </c>
      <c r="D66" s="2" t="n">
        <v>1</v>
      </c>
      <c r="E66" s="5" t="n">
        <v>9847</v>
      </c>
      <c r="F66" s="5" t="n">
        <f aca="false">E66*D66</f>
        <v>9847</v>
      </c>
      <c r="G66" s="5" t="n">
        <v>900</v>
      </c>
      <c r="H66" s="5" t="n">
        <v>2500</v>
      </c>
      <c r="I66" s="5" t="n">
        <f aca="false">SUM(F66:H67)</f>
        <v>14833</v>
      </c>
      <c r="J66" s="16" t="n">
        <v>26000</v>
      </c>
      <c r="K66" s="2" t="n">
        <v>8</v>
      </c>
      <c r="L66" s="17" t="n">
        <f aca="false">J66*K66</f>
        <v>208000</v>
      </c>
      <c r="M66" s="17" t="n">
        <f aca="false">I66*K66</f>
        <v>118664</v>
      </c>
      <c r="N66" s="18" t="n">
        <f aca="false">L66-M66</f>
        <v>89336</v>
      </c>
      <c r="O66" s="18" t="n">
        <f aca="false">H66*K66</f>
        <v>20000</v>
      </c>
      <c r="P66" s="19" t="n">
        <f aca="false">K66*D66</f>
        <v>8</v>
      </c>
    </row>
    <row r="67" customFormat="false" ht="15" hidden="false" customHeight="true" outlineLevel="0" collapsed="false">
      <c r="C67" s="1" t="s">
        <v>61</v>
      </c>
      <c r="D67" s="2" t="n">
        <v>1</v>
      </c>
      <c r="E67" s="5" t="n">
        <v>1586</v>
      </c>
      <c r="F67" s="5" t="n">
        <f aca="false">E67*D67</f>
        <v>1586</v>
      </c>
      <c r="J67" s="16"/>
      <c r="L67" s="17"/>
      <c r="M67" s="17"/>
      <c r="N67" s="18"/>
      <c r="O67" s="18"/>
      <c r="P67" s="19"/>
    </row>
    <row r="68" customFormat="false" ht="15" hidden="false" customHeight="true" outlineLevel="0" collapsed="false">
      <c r="J68" s="16"/>
      <c r="L68" s="17"/>
      <c r="M68" s="17"/>
      <c r="N68" s="18"/>
      <c r="O68" s="18"/>
      <c r="P68" s="19"/>
    </row>
    <row r="69" customFormat="false" ht="15" hidden="false" customHeight="true" outlineLevel="0" collapsed="false">
      <c r="A69" s="1" t="n">
        <v>20</v>
      </c>
      <c r="B69" s="1" t="s">
        <v>62</v>
      </c>
      <c r="C69" s="1" t="s">
        <v>58</v>
      </c>
      <c r="D69" s="2" t="n">
        <v>1</v>
      </c>
      <c r="E69" s="5" t="n">
        <v>9847</v>
      </c>
      <c r="F69" s="5" t="n">
        <f aca="false">E69*D69</f>
        <v>9847</v>
      </c>
      <c r="G69" s="5" t="n">
        <v>900</v>
      </c>
      <c r="H69" s="5" t="n">
        <v>2500</v>
      </c>
      <c r="I69" s="5" t="n">
        <f aca="false">SUM(F69:H70)</f>
        <v>14842</v>
      </c>
      <c r="J69" s="16" t="n">
        <v>26000</v>
      </c>
      <c r="K69" s="2" t="n">
        <v>8</v>
      </c>
      <c r="L69" s="17" t="n">
        <f aca="false">J69*K69</f>
        <v>208000</v>
      </c>
      <c r="M69" s="17" t="n">
        <f aca="false">I69*K69</f>
        <v>118736</v>
      </c>
      <c r="N69" s="18" t="n">
        <f aca="false">L69-M69</f>
        <v>89264</v>
      </c>
      <c r="O69" s="18" t="n">
        <f aca="false">H69*K69</f>
        <v>20000</v>
      </c>
      <c r="P69" s="19" t="n">
        <f aca="false">K69*D69</f>
        <v>8</v>
      </c>
    </row>
    <row r="70" customFormat="false" ht="15" hidden="false" customHeight="true" outlineLevel="0" collapsed="false">
      <c r="C70" s="1" t="s">
        <v>63</v>
      </c>
      <c r="D70" s="2" t="n">
        <v>1</v>
      </c>
      <c r="E70" s="5" t="n">
        <v>1595</v>
      </c>
      <c r="F70" s="5" t="n">
        <f aca="false">E70*D70</f>
        <v>1595</v>
      </c>
      <c r="J70" s="16"/>
      <c r="L70" s="17"/>
      <c r="M70" s="17"/>
      <c r="N70" s="18"/>
      <c r="O70" s="18"/>
      <c r="P70" s="19"/>
    </row>
    <row r="71" customFormat="false" ht="15" hidden="false" customHeight="true" outlineLevel="0" collapsed="false">
      <c r="J71" s="16"/>
      <c r="L71" s="17"/>
      <c r="M71" s="17"/>
      <c r="N71" s="18"/>
      <c r="O71" s="18"/>
      <c r="P71" s="19"/>
    </row>
    <row r="72" customFormat="false" ht="15" hidden="false" customHeight="true" outlineLevel="0" collapsed="false">
      <c r="A72" s="1" t="n">
        <v>21</v>
      </c>
      <c r="B72" s="1" t="s">
        <v>64</v>
      </c>
      <c r="C72" s="1" t="s">
        <v>58</v>
      </c>
      <c r="D72" s="2" t="n">
        <v>1</v>
      </c>
      <c r="E72" s="5" t="n">
        <v>9847</v>
      </c>
      <c r="F72" s="5" t="n">
        <f aca="false">E72*D72</f>
        <v>9847</v>
      </c>
      <c r="G72" s="5" t="n">
        <v>900</v>
      </c>
      <c r="H72" s="5" t="n">
        <v>2500</v>
      </c>
      <c r="I72" s="5" t="n">
        <f aca="false">SUM(F72:H73)</f>
        <v>15565</v>
      </c>
      <c r="J72" s="16" t="n">
        <v>28000</v>
      </c>
      <c r="K72" s="2" t="n">
        <v>8</v>
      </c>
      <c r="L72" s="17" t="n">
        <f aca="false">J72*K72</f>
        <v>224000</v>
      </c>
      <c r="M72" s="17" t="n">
        <f aca="false">I72*K72</f>
        <v>124520</v>
      </c>
      <c r="N72" s="18" t="n">
        <f aca="false">L72-M72</f>
        <v>99480</v>
      </c>
      <c r="O72" s="18" t="n">
        <f aca="false">H72*K72</f>
        <v>20000</v>
      </c>
      <c r="P72" s="19" t="n">
        <f aca="false">K72*D72</f>
        <v>8</v>
      </c>
    </row>
    <row r="73" customFormat="false" ht="15" hidden="false" customHeight="true" outlineLevel="0" collapsed="false">
      <c r="C73" s="1" t="s">
        <v>65</v>
      </c>
      <c r="D73" s="2" t="n">
        <v>1</v>
      </c>
      <c r="E73" s="5" t="n">
        <v>2318</v>
      </c>
      <c r="F73" s="5" t="n">
        <f aca="false">E73*D73</f>
        <v>2318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45"/>
  <sheetViews>
    <sheetView showFormulas="false" showGridLines="tru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K1" activeCellId="0" sqref="K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3.86"/>
    <col collapsed="false" customWidth="true" hidden="false" outlineLevel="0" max="2" min="2" style="1" width="29"/>
    <col collapsed="false" customWidth="true" hidden="false" outlineLevel="0" max="3" min="3" style="1" width="7.42"/>
    <col collapsed="false" customWidth="true" hidden="false" outlineLevel="0" max="4" min="4" style="1" width="5.42"/>
    <col collapsed="false" customWidth="true" hidden="false" outlineLevel="0" max="5" min="5" style="1" width="8.71"/>
    <col collapsed="false" customWidth="true" hidden="false" outlineLevel="0" max="6" min="6" style="1" width="9.71"/>
  </cols>
  <sheetData>
    <row r="1" customFormat="false" ht="15" hidden="false" customHeight="false" outlineLevel="0" collapsed="false">
      <c r="C1" s="2"/>
      <c r="D1" s="2"/>
      <c r="E1" s="5"/>
      <c r="F1" s="5"/>
      <c r="G1" s="20"/>
    </row>
    <row r="2" customFormat="false" ht="15" hidden="false" customHeight="false" outlineLevel="0" collapsed="false">
      <c r="C2" s="2"/>
      <c r="D2" s="2"/>
      <c r="E2" s="5"/>
      <c r="F2" s="5"/>
      <c r="G2" s="20"/>
    </row>
    <row r="3" customFormat="false" ht="14.25" hidden="false" customHeight="true" outlineLevel="0" collapsed="false">
      <c r="A3" s="21" t="s">
        <v>20</v>
      </c>
      <c r="B3" s="21" t="s">
        <v>66</v>
      </c>
      <c r="C3" s="21" t="s">
        <v>67</v>
      </c>
      <c r="D3" s="21" t="s">
        <v>68</v>
      </c>
      <c r="E3" s="22" t="s">
        <v>69</v>
      </c>
      <c r="F3" s="22" t="s">
        <v>70</v>
      </c>
      <c r="G3" s="20"/>
    </row>
    <row r="4" customFormat="false" ht="15" hidden="false" customHeight="false" outlineLevel="0" collapsed="false">
      <c r="A4" s="2" t="n">
        <v>1</v>
      </c>
      <c r="B4" s="1" t="s">
        <v>71</v>
      </c>
      <c r="C4" s="2" t="n">
        <v>1000</v>
      </c>
      <c r="D4" s="2" t="s">
        <v>72</v>
      </c>
      <c r="E4" s="5" t="n">
        <v>57</v>
      </c>
      <c r="F4" s="5" t="n">
        <f aca="false">E4*C4</f>
        <v>57000</v>
      </c>
      <c r="G4" s="20"/>
    </row>
    <row r="5" customFormat="false" ht="15" hidden="false" customHeight="false" outlineLevel="0" collapsed="false">
      <c r="A5" s="2" t="n">
        <v>2</v>
      </c>
      <c r="B5" s="1" t="s">
        <v>73</v>
      </c>
      <c r="C5" s="2" t="n">
        <v>1000</v>
      </c>
      <c r="D5" s="2" t="s">
        <v>74</v>
      </c>
      <c r="E5" s="5" t="n">
        <v>27</v>
      </c>
      <c r="F5" s="5" t="n">
        <f aca="false">E5*C5</f>
        <v>27000</v>
      </c>
      <c r="G5" s="20"/>
    </row>
    <row r="6" customFormat="false" ht="15" hidden="false" customHeight="false" outlineLevel="0" collapsed="false">
      <c r="A6" s="2" t="n">
        <v>3</v>
      </c>
      <c r="B6" s="1" t="s">
        <v>75</v>
      </c>
      <c r="C6" s="2" t="n">
        <v>1000</v>
      </c>
      <c r="D6" s="2" t="s">
        <v>74</v>
      </c>
      <c r="E6" s="5" t="n">
        <v>100</v>
      </c>
      <c r="F6" s="5" t="n">
        <f aca="false">E6*C6</f>
        <v>100000</v>
      </c>
      <c r="G6" s="20"/>
    </row>
    <row r="7" customFormat="false" ht="15" hidden="false" customHeight="false" outlineLevel="0" collapsed="false">
      <c r="A7" s="2" t="n">
        <v>4</v>
      </c>
      <c r="B7" s="1" t="s">
        <v>76</v>
      </c>
      <c r="C7" s="2" t="n">
        <v>1000</v>
      </c>
      <c r="D7" s="2" t="s">
        <v>74</v>
      </c>
      <c r="E7" s="5" t="n">
        <v>20</v>
      </c>
      <c r="F7" s="5" t="n">
        <f aca="false">E7*C7</f>
        <v>20000</v>
      </c>
      <c r="G7" s="20"/>
    </row>
    <row r="8" customFormat="false" ht="15" hidden="false" customHeight="false" outlineLevel="0" collapsed="false">
      <c r="A8" s="2" t="n">
        <v>5</v>
      </c>
      <c r="B8" s="1" t="s">
        <v>77</v>
      </c>
      <c r="C8" s="2" t="n">
        <v>1000</v>
      </c>
      <c r="D8" s="2" t="s">
        <v>74</v>
      </c>
      <c r="E8" s="5" t="n">
        <v>50</v>
      </c>
      <c r="F8" s="5" t="n">
        <f aca="false">E8*C8</f>
        <v>50000</v>
      </c>
      <c r="G8" s="20"/>
    </row>
    <row r="9" customFormat="false" ht="15" hidden="false" customHeight="false" outlineLevel="0" collapsed="false">
      <c r="A9" s="2" t="n">
        <v>6</v>
      </c>
      <c r="B9" s="1" t="s">
        <v>78</v>
      </c>
      <c r="C9" s="2" t="n">
        <v>1000</v>
      </c>
      <c r="D9" s="2" t="s">
        <v>74</v>
      </c>
      <c r="E9" s="5" t="n">
        <v>40</v>
      </c>
      <c r="F9" s="5" t="n">
        <f aca="false">E9*C9</f>
        <v>40000</v>
      </c>
      <c r="G9" s="20"/>
    </row>
    <row r="10" customFormat="false" ht="15" hidden="false" customHeight="false" outlineLevel="0" collapsed="false">
      <c r="A10" s="2" t="n">
        <v>7</v>
      </c>
      <c r="B10" s="1" t="s">
        <v>79</v>
      </c>
      <c r="C10" s="2" t="n">
        <v>600</v>
      </c>
      <c r="D10" s="2" t="s">
        <v>74</v>
      </c>
      <c r="E10" s="5" t="n">
        <v>75</v>
      </c>
      <c r="F10" s="5" t="n">
        <f aca="false">E10*C10</f>
        <v>45000</v>
      </c>
      <c r="G10" s="20"/>
    </row>
    <row r="11" customFormat="false" ht="15" hidden="false" customHeight="false" outlineLevel="0" collapsed="false">
      <c r="A11" s="2" t="n">
        <v>8</v>
      </c>
      <c r="B11" s="1" t="s">
        <v>80</v>
      </c>
      <c r="C11" s="2" t="n">
        <v>600</v>
      </c>
      <c r="D11" s="2" t="s">
        <v>81</v>
      </c>
      <c r="E11" s="5" t="n">
        <v>60</v>
      </c>
      <c r="F11" s="5" t="n">
        <f aca="false">E11*C11</f>
        <v>36000</v>
      </c>
      <c r="G11" s="20"/>
    </row>
    <row r="12" customFormat="false" ht="15" hidden="false" customHeight="false" outlineLevel="0" collapsed="false">
      <c r="A12" s="2" t="n">
        <v>9</v>
      </c>
      <c r="B12" s="1" t="s">
        <v>82</v>
      </c>
      <c r="C12" s="2" t="n">
        <v>1000</v>
      </c>
      <c r="D12" s="2" t="s">
        <v>74</v>
      </c>
      <c r="E12" s="5" t="n">
        <v>53</v>
      </c>
      <c r="F12" s="5" t="n">
        <f aca="false">E12*C12</f>
        <v>53000</v>
      </c>
      <c r="G12" s="20"/>
    </row>
    <row r="13" customFormat="false" ht="15" hidden="false" customHeight="false" outlineLevel="0" collapsed="false">
      <c r="A13" s="2" t="n">
        <v>10</v>
      </c>
      <c r="B13" s="1" t="s">
        <v>83</v>
      </c>
      <c r="C13" s="2" t="n">
        <v>1000</v>
      </c>
      <c r="D13" s="2" t="s">
        <v>74</v>
      </c>
      <c r="E13" s="5" t="n">
        <v>105</v>
      </c>
      <c r="F13" s="5" t="n">
        <f aca="false">E13*C13</f>
        <v>105000</v>
      </c>
      <c r="G13" s="20"/>
    </row>
    <row r="14" customFormat="false" ht="15" hidden="false" customHeight="false" outlineLevel="0" collapsed="false">
      <c r="A14" s="2" t="n">
        <v>11</v>
      </c>
      <c r="B14" s="1" t="s">
        <v>84</v>
      </c>
      <c r="C14" s="2" t="n">
        <v>1000</v>
      </c>
      <c r="D14" s="2" t="s">
        <v>74</v>
      </c>
      <c r="E14" s="5" t="n">
        <v>50</v>
      </c>
      <c r="F14" s="5" t="n">
        <f aca="false">E14*C14</f>
        <v>50000</v>
      </c>
      <c r="G14" s="20"/>
    </row>
    <row r="15" customFormat="false" ht="15" hidden="false" customHeight="false" outlineLevel="0" collapsed="false">
      <c r="A15" s="2" t="n">
        <v>12</v>
      </c>
      <c r="B15" s="1" t="s">
        <v>85</v>
      </c>
      <c r="C15" s="2" t="n">
        <v>1000</v>
      </c>
      <c r="D15" s="2" t="s">
        <v>74</v>
      </c>
      <c r="E15" s="5" t="n">
        <v>14</v>
      </c>
      <c r="F15" s="5" t="n">
        <f aca="false">E15*C15</f>
        <v>14000</v>
      </c>
      <c r="G15" s="20"/>
    </row>
    <row r="16" customFormat="false" ht="15" hidden="false" customHeight="false" outlineLevel="0" collapsed="false">
      <c r="A16" s="2" t="n">
        <v>13</v>
      </c>
      <c r="B16" s="1" t="s">
        <v>86</v>
      </c>
      <c r="C16" s="2" t="n">
        <v>1000</v>
      </c>
      <c r="D16" s="2" t="s">
        <v>74</v>
      </c>
      <c r="E16" s="5" t="n">
        <v>18</v>
      </c>
      <c r="F16" s="5" t="n">
        <f aca="false">E16*C16</f>
        <v>18000</v>
      </c>
      <c r="G16" s="20"/>
    </row>
    <row r="17" customFormat="false" ht="15" hidden="false" customHeight="false" outlineLevel="0" collapsed="false">
      <c r="A17" s="2" t="n">
        <v>14</v>
      </c>
      <c r="B17" s="1" t="s">
        <v>87</v>
      </c>
      <c r="C17" s="2" t="n">
        <v>1000</v>
      </c>
      <c r="D17" s="2" t="s">
        <v>74</v>
      </c>
      <c r="E17" s="5" t="n">
        <v>22</v>
      </c>
      <c r="F17" s="5" t="n">
        <f aca="false">E17*C17</f>
        <v>22000</v>
      </c>
      <c r="G17" s="20"/>
    </row>
    <row r="18" customFormat="false" ht="15" hidden="false" customHeight="false" outlineLevel="0" collapsed="false">
      <c r="A18" s="2" t="n">
        <v>15</v>
      </c>
      <c r="B18" s="1" t="s">
        <v>88</v>
      </c>
      <c r="C18" s="2" t="n">
        <v>1000</v>
      </c>
      <c r="D18" s="2" t="s">
        <v>74</v>
      </c>
      <c r="E18" s="5" t="n">
        <v>22</v>
      </c>
      <c r="F18" s="5" t="n">
        <f aca="false">E18*C18</f>
        <v>22000</v>
      </c>
      <c r="G18" s="20"/>
    </row>
    <row r="19" customFormat="false" ht="15" hidden="false" customHeight="false" outlineLevel="0" collapsed="false">
      <c r="A19" s="2" t="n">
        <v>16</v>
      </c>
      <c r="B19" s="1" t="s">
        <v>89</v>
      </c>
      <c r="C19" s="2" t="n">
        <v>36</v>
      </c>
      <c r="D19" s="2" t="s">
        <v>74</v>
      </c>
      <c r="E19" s="5" t="n">
        <v>305.555556</v>
      </c>
      <c r="F19" s="5" t="n">
        <f aca="false">E19*C19</f>
        <v>11000.000016</v>
      </c>
      <c r="G19" s="20"/>
    </row>
    <row r="20" customFormat="false" ht="15" hidden="false" customHeight="false" outlineLevel="0" collapsed="false">
      <c r="A20" s="2" t="n">
        <v>17</v>
      </c>
      <c r="B20" s="1" t="s">
        <v>90</v>
      </c>
      <c r="C20" s="2" t="n">
        <v>1000</v>
      </c>
      <c r="D20" s="2" t="s">
        <v>72</v>
      </c>
      <c r="E20" s="5" t="n">
        <v>25</v>
      </c>
      <c r="F20" s="5" t="n">
        <f aca="false">E20*C20</f>
        <v>25000</v>
      </c>
      <c r="G20" s="20"/>
    </row>
    <row r="21" customFormat="false" ht="15" hidden="false" customHeight="false" outlineLevel="0" collapsed="false">
      <c r="A21" s="2" t="n">
        <v>18</v>
      </c>
      <c r="B21" s="1" t="s">
        <v>91</v>
      </c>
      <c r="C21" s="2" t="n">
        <v>1000</v>
      </c>
      <c r="D21" s="2" t="s">
        <v>72</v>
      </c>
      <c r="E21" s="5" t="n">
        <v>15</v>
      </c>
      <c r="F21" s="5" t="n">
        <f aca="false">E21*C21</f>
        <v>15000</v>
      </c>
      <c r="G21" s="20"/>
    </row>
    <row r="22" customFormat="false" ht="15" hidden="false" customHeight="false" outlineLevel="0" collapsed="false">
      <c r="A22" s="2" t="n">
        <v>19</v>
      </c>
      <c r="B22" s="1" t="s">
        <v>92</v>
      </c>
      <c r="C22" s="2" t="n">
        <v>1000</v>
      </c>
      <c r="D22" s="2" t="s">
        <v>72</v>
      </c>
      <c r="E22" s="5" t="n">
        <v>17</v>
      </c>
      <c r="F22" s="5" t="n">
        <f aca="false">E22*C22</f>
        <v>17000</v>
      </c>
      <c r="G22" s="20"/>
    </row>
    <row r="23" customFormat="false" ht="15" hidden="false" customHeight="false" outlineLevel="0" collapsed="false">
      <c r="A23" s="2" t="n">
        <v>20</v>
      </c>
      <c r="B23" s="1" t="s">
        <v>93</v>
      </c>
      <c r="C23" s="2" t="n">
        <v>2000</v>
      </c>
      <c r="D23" s="2" t="s">
        <v>81</v>
      </c>
      <c r="E23" s="5" t="n">
        <v>56.5</v>
      </c>
      <c r="F23" s="5" t="n">
        <f aca="false">E23*C23</f>
        <v>113000</v>
      </c>
      <c r="G23" s="20"/>
    </row>
    <row r="24" customFormat="false" ht="15" hidden="false" customHeight="false" outlineLevel="0" collapsed="false">
      <c r="A24" s="2" t="n">
        <v>21</v>
      </c>
      <c r="B24" s="1" t="s">
        <v>94</v>
      </c>
      <c r="C24" s="2" t="n">
        <v>30</v>
      </c>
      <c r="D24" s="2" t="s">
        <v>74</v>
      </c>
      <c r="E24" s="5" t="n">
        <v>733.333333</v>
      </c>
      <c r="F24" s="5" t="n">
        <f aca="false">E24*C24</f>
        <v>21999.99999</v>
      </c>
      <c r="G24" s="20"/>
    </row>
    <row r="25" customFormat="false" ht="15" hidden="false" customHeight="false" outlineLevel="0" collapsed="false">
      <c r="A25" s="2" t="n">
        <v>22</v>
      </c>
      <c r="B25" s="1" t="s">
        <v>95</v>
      </c>
      <c r="C25" s="2" t="n">
        <v>1000</v>
      </c>
      <c r="D25" s="2" t="s">
        <v>96</v>
      </c>
      <c r="E25" s="5" t="n">
        <v>19</v>
      </c>
      <c r="F25" s="5" t="n">
        <f aca="false">E25*C25</f>
        <v>19000</v>
      </c>
      <c r="G25" s="20"/>
    </row>
    <row r="26" customFormat="false" ht="15" hidden="false" customHeight="false" outlineLevel="0" collapsed="false">
      <c r="A26" s="2" t="n">
        <v>23</v>
      </c>
      <c r="B26" s="1" t="s">
        <v>97</v>
      </c>
      <c r="C26" s="2" t="n">
        <v>1000</v>
      </c>
      <c r="D26" s="2" t="s">
        <v>72</v>
      </c>
      <c r="E26" s="5" t="n">
        <v>95</v>
      </c>
      <c r="F26" s="5" t="n">
        <f aca="false">E26*C26</f>
        <v>95000</v>
      </c>
      <c r="G26" s="20"/>
    </row>
    <row r="27" customFormat="false" ht="15" hidden="false" customHeight="false" outlineLevel="0" collapsed="false">
      <c r="A27" s="2" t="n">
        <v>24</v>
      </c>
      <c r="B27" s="23" t="s">
        <v>98</v>
      </c>
      <c r="C27" s="24" t="n">
        <v>150</v>
      </c>
      <c r="D27" s="24" t="s">
        <v>74</v>
      </c>
      <c r="E27" s="25" t="n">
        <v>13.3333333</v>
      </c>
      <c r="F27" s="25" t="n">
        <f aca="false">E27*C27</f>
        <v>1999.999995</v>
      </c>
      <c r="G27" s="20"/>
    </row>
    <row r="28" customFormat="false" ht="15" hidden="false" customHeight="false" outlineLevel="0" collapsed="false">
      <c r="A28" s="2" t="n">
        <v>25</v>
      </c>
      <c r="B28" s="23" t="s">
        <v>99</v>
      </c>
      <c r="C28" s="24" t="n">
        <v>300</v>
      </c>
      <c r="D28" s="24" t="s">
        <v>74</v>
      </c>
      <c r="E28" s="25" t="n">
        <v>6.66666667</v>
      </c>
      <c r="F28" s="25" t="n">
        <f aca="false">E28*C28</f>
        <v>2000.000001</v>
      </c>
      <c r="G28" s="20"/>
    </row>
    <row r="29" customFormat="false" ht="15" hidden="false" customHeight="false" outlineLevel="0" collapsed="false">
      <c r="A29" s="2" t="n">
        <v>26</v>
      </c>
      <c r="B29" s="23" t="s">
        <v>100</v>
      </c>
      <c r="C29" s="24" t="n">
        <v>150</v>
      </c>
      <c r="D29" s="24" t="s">
        <v>74</v>
      </c>
      <c r="E29" s="25" t="n">
        <v>13.3333333</v>
      </c>
      <c r="F29" s="25" t="n">
        <f aca="false">E29*C29</f>
        <v>1999.999995</v>
      </c>
      <c r="G29" s="20"/>
    </row>
    <row r="30" customFormat="false" ht="15" hidden="false" customHeight="false" outlineLevel="0" collapsed="false">
      <c r="A30" s="2" t="n">
        <v>27</v>
      </c>
      <c r="B30" s="1" t="s">
        <v>101</v>
      </c>
      <c r="C30" s="2" t="n">
        <v>12</v>
      </c>
      <c r="D30" s="2" t="s">
        <v>74</v>
      </c>
      <c r="E30" s="5" t="n">
        <v>1000</v>
      </c>
      <c r="F30" s="5" t="n">
        <f aca="false">E30*C30</f>
        <v>12000</v>
      </c>
      <c r="G30" s="20"/>
    </row>
    <row r="31" customFormat="false" ht="15" hidden="false" customHeight="false" outlineLevel="0" collapsed="false">
      <c r="A31" s="2" t="n">
        <v>28</v>
      </c>
      <c r="B31" s="1" t="s">
        <v>102</v>
      </c>
      <c r="C31" s="2" t="n">
        <v>2000</v>
      </c>
      <c r="D31" s="2" t="s">
        <v>74</v>
      </c>
      <c r="E31" s="5" t="n">
        <v>100</v>
      </c>
      <c r="F31" s="5" t="n">
        <f aca="false">E31*C31</f>
        <v>200000</v>
      </c>
      <c r="G31" s="20"/>
    </row>
    <row r="32" customFormat="false" ht="15" hidden="false" customHeight="false" outlineLevel="0" collapsed="false">
      <c r="A32" s="2" t="n">
        <v>29</v>
      </c>
      <c r="B32" s="1" t="s">
        <v>103</v>
      </c>
      <c r="C32" s="2" t="n">
        <v>19000</v>
      </c>
      <c r="D32" s="2" t="s">
        <v>81</v>
      </c>
      <c r="E32" s="5" t="n">
        <v>0.31578947</v>
      </c>
      <c r="F32" s="5" t="n">
        <f aca="false">E32*C32</f>
        <v>5999.99993</v>
      </c>
      <c r="G32" s="20"/>
    </row>
    <row r="33" customFormat="false" ht="15" hidden="false" customHeight="false" outlineLevel="0" collapsed="false">
      <c r="A33" s="2" t="n">
        <v>30</v>
      </c>
      <c r="B33" s="1" t="s">
        <v>104</v>
      </c>
      <c r="C33" s="2" t="n">
        <v>300</v>
      </c>
      <c r="D33" s="2" t="s">
        <v>74</v>
      </c>
      <c r="E33" s="5" t="n">
        <v>50</v>
      </c>
      <c r="F33" s="5" t="n">
        <f aca="false">E33*C33</f>
        <v>15000</v>
      </c>
      <c r="G33" s="20"/>
    </row>
    <row r="34" customFormat="false" ht="15" hidden="false" customHeight="false" outlineLevel="0" collapsed="false">
      <c r="A34" s="2" t="n">
        <v>31</v>
      </c>
      <c r="B34" s="1" t="s">
        <v>105</v>
      </c>
      <c r="C34" s="2" t="n">
        <v>500</v>
      </c>
      <c r="D34" s="2" t="s">
        <v>74</v>
      </c>
      <c r="E34" s="5" t="n">
        <v>112</v>
      </c>
      <c r="F34" s="5" t="n">
        <f aca="false">E34*C34</f>
        <v>56000</v>
      </c>
      <c r="G34" s="20"/>
    </row>
    <row r="35" customFormat="false" ht="15" hidden="false" customHeight="false" outlineLevel="0" collapsed="false">
      <c r="A35" s="2" t="n">
        <v>32</v>
      </c>
      <c r="B35" s="1" t="s">
        <v>106</v>
      </c>
      <c r="C35" s="2" t="n">
        <v>500</v>
      </c>
      <c r="D35" s="2" t="s">
        <v>74</v>
      </c>
      <c r="E35" s="5" t="n">
        <v>50</v>
      </c>
      <c r="F35" s="5" t="n">
        <f aca="false">E35*C35</f>
        <v>25000</v>
      </c>
      <c r="G35" s="20"/>
    </row>
    <row r="36" customFormat="false" ht="15" hidden="false" customHeight="false" outlineLevel="0" collapsed="false">
      <c r="A36" s="2" t="n">
        <v>33</v>
      </c>
      <c r="B36" s="1" t="s">
        <v>107</v>
      </c>
      <c r="C36" s="2" t="n">
        <v>47</v>
      </c>
      <c r="D36" s="2" t="s">
        <v>108</v>
      </c>
      <c r="E36" s="5" t="n">
        <v>132.978723</v>
      </c>
      <c r="F36" s="5" t="n">
        <f aca="false">E36*C36</f>
        <v>6249.999981</v>
      </c>
      <c r="G36" s="20"/>
    </row>
    <row r="37" customFormat="false" ht="15" hidden="false" customHeight="false" outlineLevel="0" collapsed="false">
      <c r="A37" s="2" t="n">
        <v>34</v>
      </c>
      <c r="B37" s="1" t="s">
        <v>109</v>
      </c>
      <c r="C37" s="2" t="n">
        <v>50</v>
      </c>
      <c r="D37" s="2" t="s">
        <v>108</v>
      </c>
      <c r="E37" s="5" t="n">
        <v>240</v>
      </c>
      <c r="F37" s="5" t="n">
        <f aca="false">E37*C37</f>
        <v>12000</v>
      </c>
      <c r="G37" s="20"/>
    </row>
    <row r="38" customFormat="false" ht="15" hidden="false" customHeight="false" outlineLevel="0" collapsed="false">
      <c r="A38" s="2" t="n">
        <v>35</v>
      </c>
      <c r="B38" s="1" t="s">
        <v>110</v>
      </c>
      <c r="C38" s="2" t="n">
        <v>350</v>
      </c>
      <c r="D38" s="2" t="s">
        <v>108</v>
      </c>
      <c r="E38" s="5" t="n">
        <v>100</v>
      </c>
      <c r="F38" s="5" t="n">
        <f aca="false">E38*C38</f>
        <v>35000</v>
      </c>
      <c r="G38" s="20"/>
    </row>
    <row r="39" customFormat="false" ht="15" hidden="false" customHeight="false" outlineLevel="0" collapsed="false">
      <c r="A39" s="2" t="n">
        <v>36</v>
      </c>
      <c r="B39" s="1" t="s">
        <v>111</v>
      </c>
      <c r="C39" s="2" t="n">
        <v>1000</v>
      </c>
      <c r="D39" s="2" t="s">
        <v>74</v>
      </c>
      <c r="E39" s="5" t="n">
        <v>18</v>
      </c>
      <c r="F39" s="5" t="n">
        <f aca="false">E39*C39</f>
        <v>18000</v>
      </c>
      <c r="G39" s="20"/>
    </row>
    <row r="40" customFormat="false" ht="15" hidden="false" customHeight="false" outlineLevel="0" collapsed="false">
      <c r="A40" s="2" t="n">
        <v>37</v>
      </c>
      <c r="B40" s="1" t="s">
        <v>112</v>
      </c>
      <c r="C40" s="2" t="n">
        <v>1000</v>
      </c>
      <c r="D40" s="2" t="s">
        <v>74</v>
      </c>
      <c r="E40" s="5" t="n">
        <v>17</v>
      </c>
      <c r="F40" s="5" t="n">
        <f aca="false">E40*C40</f>
        <v>17000</v>
      </c>
      <c r="G40" s="20"/>
    </row>
    <row r="41" customFormat="false" ht="15" hidden="false" customHeight="false" outlineLevel="0" collapsed="false">
      <c r="A41" s="2" t="n">
        <v>38</v>
      </c>
      <c r="B41" s="1" t="s">
        <v>113</v>
      </c>
      <c r="C41" s="2" t="n">
        <v>250</v>
      </c>
      <c r="D41" s="2" t="s">
        <v>74</v>
      </c>
      <c r="E41" s="5" t="n">
        <v>48</v>
      </c>
      <c r="F41" s="5" t="n">
        <f aca="false">E41*C41</f>
        <v>12000</v>
      </c>
      <c r="G41" s="20"/>
    </row>
    <row r="42" customFormat="false" ht="15" hidden="false" customHeight="false" outlineLevel="0" collapsed="false">
      <c r="A42" s="2" t="n">
        <v>39</v>
      </c>
      <c r="B42" s="1" t="s">
        <v>114</v>
      </c>
      <c r="C42" s="2" t="n">
        <v>250</v>
      </c>
      <c r="D42" s="2" t="s">
        <v>74</v>
      </c>
      <c r="E42" s="5" t="n">
        <v>416</v>
      </c>
      <c r="F42" s="5" t="n">
        <f aca="false">E42*C42</f>
        <v>104000</v>
      </c>
      <c r="G42" s="20"/>
    </row>
    <row r="43" customFormat="false" ht="15" hidden="false" customHeight="false" outlineLevel="0" collapsed="false">
      <c r="A43" s="2" t="n">
        <v>40</v>
      </c>
      <c r="B43" s="1" t="s">
        <v>115</v>
      </c>
      <c r="C43" s="2" t="n">
        <v>1000</v>
      </c>
      <c r="D43" s="2" t="s">
        <v>74</v>
      </c>
      <c r="E43" s="5" t="n">
        <v>30</v>
      </c>
      <c r="F43" s="5" t="n">
        <f aca="false">E43*C43</f>
        <v>30000</v>
      </c>
      <c r="G43" s="20"/>
    </row>
    <row r="44" customFormat="false" ht="15" hidden="false" customHeight="false" outlineLevel="0" collapsed="false">
      <c r="A44" s="2" t="n">
        <v>41</v>
      </c>
      <c r="B44" s="1" t="s">
        <v>116</v>
      </c>
      <c r="C44" s="2" t="n">
        <v>280</v>
      </c>
      <c r="D44" s="2" t="s">
        <v>74</v>
      </c>
      <c r="E44" s="5" t="n">
        <v>42.8571428571</v>
      </c>
      <c r="F44" s="5" t="n">
        <f aca="false">E44*C44</f>
        <v>11999.999999988</v>
      </c>
      <c r="G44" s="20"/>
    </row>
    <row r="45" customFormat="false" ht="15" hidden="false" customHeight="false" outlineLevel="0" collapsed="false">
      <c r="A45" s="2" t="n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false" showOutlineSymbols="true" defaultGridColor="true" view="normal" topLeftCell="A1" colorId="64" zoomScale="84" zoomScaleNormal="84" zoomScalePageLayoutView="100" workbookViewId="0">
      <selection pane="topLeft" activeCell="D20" activeCellId="0" sqref="D20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.86"/>
    <col collapsed="false" customWidth="true" hidden="false" outlineLevel="0" max="2" min="2" style="1" width="19.42"/>
    <col collapsed="false" customWidth="true" hidden="false" outlineLevel="0" max="3" min="3" style="1" width="20.85"/>
    <col collapsed="false" customWidth="true" hidden="false" outlineLevel="0" max="4" min="4" style="26" width="7"/>
    <col collapsed="false" customWidth="true" hidden="false" outlineLevel="0" max="5" min="5" style="1" width="6.14"/>
    <col collapsed="false" customWidth="true" hidden="false" outlineLevel="0" max="6" min="6" style="1" width="8.29"/>
    <col collapsed="false" customWidth="true" hidden="false" outlineLevel="0" max="7" min="7" style="1" width="6.57"/>
    <col collapsed="false" customWidth="true" hidden="false" outlineLevel="0" max="8" min="8" style="1" width="8.71"/>
    <col collapsed="false" customWidth="true" hidden="false" outlineLevel="0" max="9" min="9" style="1" width="9.14"/>
    <col collapsed="false" customWidth="true" hidden="false" outlineLevel="0" max="10" min="10" style="1" width="11.57"/>
    <col collapsed="false" customWidth="true" hidden="false" outlineLevel="0" max="12" min="11" style="1" width="9.14"/>
  </cols>
  <sheetData>
    <row r="1" customFormat="false" ht="15" hidden="false" customHeight="false" outlineLevel="0" collapsed="false">
      <c r="I1" s="27" t="n">
        <v>0.1</v>
      </c>
    </row>
    <row r="2" customFormat="false" ht="15" hidden="false" customHeight="false" outlineLevel="0" collapsed="false">
      <c r="A2" s="0" t="n">
        <v>1</v>
      </c>
      <c r="B2" s="28" t="s">
        <v>117</v>
      </c>
      <c r="C2" s="28" t="s">
        <v>118</v>
      </c>
      <c r="D2" s="29" t="s">
        <v>119</v>
      </c>
      <c r="E2" s="30" t="s">
        <v>68</v>
      </c>
      <c r="F2" s="30" t="s">
        <v>120</v>
      </c>
      <c r="G2" s="30" t="s">
        <v>121</v>
      </c>
      <c r="H2" s="31" t="s">
        <v>122</v>
      </c>
      <c r="I2" s="32" t="s">
        <v>123</v>
      </c>
      <c r="J2" s="30" t="s">
        <v>27</v>
      </c>
    </row>
    <row r="3" customFormat="false" ht="15" hidden="false" customHeight="false" outlineLevel="0" collapsed="false">
      <c r="B3" s="1" t="s">
        <v>111</v>
      </c>
      <c r="C3" s="1" t="s">
        <v>124</v>
      </c>
      <c r="D3" s="26" t="n">
        <v>25</v>
      </c>
      <c r="E3" s="5" t="s">
        <v>74</v>
      </c>
      <c r="F3" s="4" t="n">
        <f aca="false">VLOOKUP(C3,'Master Bahan'!$B$4:$G$44,4,0)</f>
        <v>18</v>
      </c>
      <c r="G3" s="4" t="n">
        <f aca="false">F3*D3</f>
        <v>450</v>
      </c>
      <c r="H3" s="4" t="n">
        <f aca="false">SUM(G3:G4)</f>
        <v>459.4736841</v>
      </c>
      <c r="I3" s="4" t="n">
        <f aca="false">H3*$I$1</f>
        <v>45.94736841</v>
      </c>
      <c r="J3" s="4" t="n">
        <f aca="false">H3+I3</f>
        <v>505.42105251</v>
      </c>
    </row>
    <row r="4" customFormat="false" ht="15" hidden="false" customHeight="false" outlineLevel="0" collapsed="false">
      <c r="C4" s="1" t="s">
        <v>103</v>
      </c>
      <c r="D4" s="26" t="n">
        <v>30</v>
      </c>
      <c r="E4" s="5"/>
      <c r="F4" s="4" t="n">
        <f aca="false">VLOOKUP(C4,'Master Bahan'!$B$4:$G$44,4,0)</f>
        <v>0.31578947</v>
      </c>
      <c r="G4" s="4" t="n">
        <f aca="false">F4*D4</f>
        <v>9.4736841</v>
      </c>
      <c r="H4" s="4"/>
    </row>
    <row r="5" customFormat="false" ht="15" hidden="false" customHeight="false" outlineLevel="0" collapsed="false">
      <c r="E5" s="5"/>
      <c r="F5" s="4"/>
      <c r="G5" s="4"/>
    </row>
    <row r="6" customFormat="false" ht="15" hidden="false" customHeight="false" outlineLevel="0" collapsed="false">
      <c r="A6" s="0" t="n">
        <v>2</v>
      </c>
      <c r="B6" s="28" t="s">
        <v>117</v>
      </c>
      <c r="C6" s="28" t="s">
        <v>118</v>
      </c>
      <c r="D6" s="29" t="s">
        <v>119</v>
      </c>
      <c r="E6" s="30" t="s">
        <v>68</v>
      </c>
      <c r="F6" s="30" t="s">
        <v>120</v>
      </c>
      <c r="G6" s="30" t="s">
        <v>121</v>
      </c>
      <c r="H6" s="31" t="s">
        <v>122</v>
      </c>
      <c r="I6" s="32" t="s">
        <v>123</v>
      </c>
      <c r="J6" s="30" t="s">
        <v>27</v>
      </c>
    </row>
    <row r="7" customFormat="false" ht="15" hidden="false" customHeight="false" outlineLevel="0" collapsed="false">
      <c r="B7" s="1" t="s">
        <v>37</v>
      </c>
      <c r="C7" s="1" t="s">
        <v>95</v>
      </c>
      <c r="D7" s="26" t="n">
        <v>17.241</v>
      </c>
      <c r="E7" s="5" t="s">
        <v>81</v>
      </c>
      <c r="F7" s="4" t="n">
        <f aca="false">VLOOKUP(C7,'Master Bahan'!$B$4:$G$44,4,0)</f>
        <v>19</v>
      </c>
      <c r="G7" s="4" t="n">
        <f aca="false">F7*D7</f>
        <v>327.579</v>
      </c>
      <c r="H7" s="4" t="n">
        <f aca="false">SUM(G7:G17)</f>
        <v>647.9545555698</v>
      </c>
      <c r="I7" s="4" t="n">
        <f aca="false">H7*$I$1</f>
        <v>64.79545555698</v>
      </c>
      <c r="J7" s="4" t="n">
        <f aca="false">H7+I7</f>
        <v>712.75001112678</v>
      </c>
    </row>
    <row r="8" customFormat="false" ht="15" hidden="false" customHeight="false" outlineLevel="0" collapsed="false">
      <c r="C8" s="1" t="s">
        <v>125</v>
      </c>
      <c r="D8" s="26" t="n">
        <v>1.724</v>
      </c>
      <c r="E8" s="5" t="s">
        <v>74</v>
      </c>
      <c r="F8" s="4" t="n">
        <f aca="false">VLOOKUP(C8,'Master Bahan'!$B$4:$G$44,4,0)</f>
        <v>95</v>
      </c>
      <c r="G8" s="4" t="n">
        <f aca="false">F8*D8</f>
        <v>163.78</v>
      </c>
      <c r="H8" s="4"/>
    </row>
    <row r="9" customFormat="false" ht="15" hidden="false" customHeight="false" outlineLevel="0" collapsed="false">
      <c r="C9" s="1" t="s">
        <v>89</v>
      </c>
      <c r="D9" s="26" t="n">
        <v>0.034</v>
      </c>
      <c r="E9" s="5" t="s">
        <v>74</v>
      </c>
      <c r="F9" s="4" t="n">
        <f aca="false">VLOOKUP(C9,'Master Bahan'!$B$4:$G$44,4,0)</f>
        <v>305.555556</v>
      </c>
      <c r="G9" s="4" t="n">
        <f aca="false">F9*D9</f>
        <v>10.388888904</v>
      </c>
    </row>
    <row r="10" customFormat="false" ht="15" hidden="false" customHeight="false" outlineLevel="0" collapsed="false">
      <c r="C10" s="1" t="s">
        <v>98</v>
      </c>
      <c r="D10" s="26" t="n">
        <v>0.01</v>
      </c>
      <c r="E10" s="5" t="s">
        <v>74</v>
      </c>
      <c r="F10" s="4" t="n">
        <f aca="false">VLOOKUP(C10,'Master Bahan'!$B$4:$G$44,4,0)</f>
        <v>13.3333333</v>
      </c>
      <c r="G10" s="4" t="n">
        <f aca="false">F10*D10</f>
        <v>0.133333333</v>
      </c>
    </row>
    <row r="11" customFormat="false" ht="15" hidden="false" customHeight="false" outlineLevel="0" collapsed="false">
      <c r="C11" s="1" t="s">
        <v>99</v>
      </c>
      <c r="D11" s="26" t="n">
        <v>0.04</v>
      </c>
      <c r="E11" s="5" t="s">
        <v>74</v>
      </c>
      <c r="F11" s="4" t="n">
        <f aca="false">VLOOKUP(C11,'Master Bahan'!$B$4:$G$44,4,0)</f>
        <v>6.66666667</v>
      </c>
      <c r="G11" s="4" t="n">
        <f aca="false">F11*D11</f>
        <v>0.2666666668</v>
      </c>
    </row>
    <row r="12" customFormat="false" ht="15" hidden="false" customHeight="false" outlineLevel="0" collapsed="false">
      <c r="C12" s="1" t="s">
        <v>85</v>
      </c>
      <c r="D12" s="26" t="n">
        <v>0.26</v>
      </c>
      <c r="E12" s="5" t="s">
        <v>74</v>
      </c>
      <c r="F12" s="4" t="n">
        <f aca="false">VLOOKUP(C12,'Master Bahan'!$B$4:$G$44,4,0)</f>
        <v>14</v>
      </c>
      <c r="G12" s="4" t="n">
        <f aca="false">F12*D12</f>
        <v>3.64</v>
      </c>
    </row>
    <row r="13" customFormat="false" ht="15" hidden="false" customHeight="false" outlineLevel="0" collapsed="false">
      <c r="C13" s="1" t="s">
        <v>126</v>
      </c>
      <c r="D13" s="26" t="n">
        <v>0.65</v>
      </c>
      <c r="E13" s="5" t="s">
        <v>74</v>
      </c>
      <c r="F13" s="4" t="n">
        <f aca="false">VLOOKUP(C13,'Master Bahan'!$B$4:$G$44,4,0)</f>
        <v>18</v>
      </c>
      <c r="G13" s="4" t="n">
        <f aca="false">F13*D13</f>
        <v>11.7</v>
      </c>
    </row>
    <row r="14" customFormat="false" ht="15" hidden="false" customHeight="false" outlineLevel="0" collapsed="false">
      <c r="C14" s="1" t="s">
        <v>100</v>
      </c>
      <c r="D14" s="26" t="n">
        <v>0.02</v>
      </c>
      <c r="E14" s="5" t="s">
        <v>74</v>
      </c>
      <c r="F14" s="4" t="n">
        <f aca="false">VLOOKUP(C14,'Master Bahan'!$B$4:$G$44,4,0)</f>
        <v>13.3333333</v>
      </c>
      <c r="G14" s="4" t="n">
        <f aca="false">F14*D14</f>
        <v>0.266666666</v>
      </c>
    </row>
    <row r="15" customFormat="false" ht="15" hidden="false" customHeight="false" outlineLevel="0" collapsed="false">
      <c r="C15" s="1" t="s">
        <v>84</v>
      </c>
      <c r="D15" s="26" t="n">
        <v>0.26</v>
      </c>
      <c r="E15" s="5" t="s">
        <v>74</v>
      </c>
      <c r="F15" s="4" t="n">
        <f aca="false">VLOOKUP(C15,'Master Bahan'!$B$4:$G$44,4,0)</f>
        <v>50</v>
      </c>
      <c r="G15" s="4" t="n">
        <f aca="false">F15*D15</f>
        <v>13</v>
      </c>
    </row>
    <row r="16" customFormat="false" ht="15" hidden="false" customHeight="false" outlineLevel="0" collapsed="false">
      <c r="C16" s="1" t="s">
        <v>76</v>
      </c>
      <c r="D16" s="26" t="n">
        <v>0.86</v>
      </c>
      <c r="E16" s="5" t="s">
        <v>74</v>
      </c>
      <c r="F16" s="4" t="n">
        <f aca="false">VLOOKUP(C16,'Master Bahan'!$B$4:$G$44,4,0)</f>
        <v>20</v>
      </c>
      <c r="G16" s="4" t="n">
        <f aca="false">F16*D16</f>
        <v>17.2</v>
      </c>
    </row>
    <row r="17" customFormat="false" ht="15" hidden="false" customHeight="false" outlineLevel="0" collapsed="false">
      <c r="C17" s="1" t="s">
        <v>127</v>
      </c>
      <c r="D17" s="26" t="n">
        <v>1</v>
      </c>
      <c r="E17" s="5" t="s">
        <v>108</v>
      </c>
      <c r="F17" s="1" t="n">
        <v>100</v>
      </c>
      <c r="G17" s="4" t="n">
        <f aca="false">F17*D17</f>
        <v>100</v>
      </c>
    </row>
    <row r="19" customFormat="false" ht="15" hidden="false" customHeight="false" outlineLevel="0" collapsed="false">
      <c r="A19" s="0" t="n">
        <v>3</v>
      </c>
      <c r="B19" s="28" t="s">
        <v>117</v>
      </c>
      <c r="C19" s="28" t="s">
        <v>118</v>
      </c>
      <c r="D19" s="29" t="s">
        <v>119</v>
      </c>
      <c r="E19" s="30" t="s">
        <v>68</v>
      </c>
      <c r="F19" s="30" t="s">
        <v>120</v>
      </c>
      <c r="G19" s="30" t="s">
        <v>121</v>
      </c>
      <c r="H19" s="31" t="s">
        <v>122</v>
      </c>
      <c r="I19" s="32" t="s">
        <v>123</v>
      </c>
      <c r="J19" s="30" t="s">
        <v>27</v>
      </c>
    </row>
    <row r="20" customFormat="false" ht="15" hidden="false" customHeight="false" outlineLevel="0" collapsed="false">
      <c r="B20" s="1" t="s">
        <v>59</v>
      </c>
      <c r="C20" s="33" t="s">
        <v>78</v>
      </c>
      <c r="D20" s="34" t="n">
        <v>8</v>
      </c>
      <c r="E20" s="35" t="s">
        <v>74</v>
      </c>
      <c r="F20" s="4" t="n">
        <f aca="false">VLOOKUP(C20,'Master Bahan'!$B$4:$G$44,4,0)</f>
        <v>40</v>
      </c>
      <c r="G20" s="4" t="n">
        <f aca="false">F20*D20</f>
        <v>320</v>
      </c>
      <c r="H20" s="4" t="n">
        <f aca="false">SUM(G20:G24)</f>
        <v>1952.7611112</v>
      </c>
      <c r="I20" s="4" t="n">
        <f aca="false">H20*$I$1</f>
        <v>195.27611112</v>
      </c>
      <c r="J20" s="4" t="n">
        <f aca="false">H20+I20</f>
        <v>2148.03722232</v>
      </c>
    </row>
    <row r="21" customFormat="false" ht="15" hidden="false" customHeight="false" outlineLevel="0" collapsed="false">
      <c r="B21" s="1" t="s">
        <v>128</v>
      </c>
      <c r="C21" s="33" t="s">
        <v>90</v>
      </c>
      <c r="D21" s="34" t="n">
        <v>52.64</v>
      </c>
      <c r="E21" s="35" t="s">
        <v>74</v>
      </c>
      <c r="F21" s="4" t="n">
        <f aca="false">VLOOKUP(C21,'Master Bahan'!$B$4:$G$44,4,0)</f>
        <v>25</v>
      </c>
      <c r="G21" s="4" t="n">
        <f aca="false">F21*D21</f>
        <v>1316</v>
      </c>
      <c r="H21" s="4"/>
    </row>
    <row r="22" customFormat="false" ht="15" hidden="false" customHeight="false" outlineLevel="0" collapsed="false">
      <c r="B22" s="1" t="s">
        <v>129</v>
      </c>
      <c r="C22" s="33" t="s">
        <v>83</v>
      </c>
      <c r="D22" s="34" t="n">
        <v>0.53</v>
      </c>
      <c r="E22" s="35" t="s">
        <v>74</v>
      </c>
      <c r="F22" s="4" t="n">
        <f aca="false">VLOOKUP(C22,'Master Bahan'!$B$4:$G$44,4,0)</f>
        <v>105</v>
      </c>
      <c r="G22" s="4" t="n">
        <f aca="false">F22*D22</f>
        <v>55.65</v>
      </c>
    </row>
    <row r="23" customFormat="false" ht="15" hidden="false" customHeight="false" outlineLevel="0" collapsed="false">
      <c r="C23" s="1" t="s">
        <v>89</v>
      </c>
      <c r="D23" s="34" t="n">
        <v>0.2</v>
      </c>
      <c r="E23" s="35" t="s">
        <v>74</v>
      </c>
      <c r="F23" s="4" t="n">
        <f aca="false">VLOOKUP(C23,'Master Bahan'!$B$4:$G$44,4,0)</f>
        <v>305.555556</v>
      </c>
      <c r="G23" s="4" t="n">
        <f aca="false">F23*D23</f>
        <v>61.1111112</v>
      </c>
    </row>
    <row r="24" customFormat="false" ht="15" hidden="false" customHeight="false" outlineLevel="0" collapsed="false">
      <c r="C24" s="33" t="s">
        <v>101</v>
      </c>
      <c r="D24" s="34" t="n">
        <v>0.2</v>
      </c>
      <c r="E24" s="35" t="s">
        <v>74</v>
      </c>
      <c r="F24" s="4" t="n">
        <f aca="false">VLOOKUP(C24,'Master Bahan'!$B$4:$G$44,4,0)</f>
        <v>1000</v>
      </c>
      <c r="G24" s="4" t="n">
        <f aca="false">F24*D24</f>
        <v>200</v>
      </c>
    </row>
    <row r="25" customFormat="false" ht="15" hidden="false" customHeight="false" outlineLevel="0" collapsed="false">
      <c r="E25" s="5"/>
      <c r="F25" s="4"/>
      <c r="G25" s="4"/>
    </row>
    <row r="26" customFormat="false" ht="15" hidden="false" customHeight="false" outlineLevel="0" collapsed="false">
      <c r="A26" s="0" t="n">
        <v>4</v>
      </c>
      <c r="B26" s="28" t="s">
        <v>117</v>
      </c>
      <c r="C26" s="28" t="s">
        <v>118</v>
      </c>
      <c r="D26" s="29" t="s">
        <v>119</v>
      </c>
      <c r="E26" s="30" t="s">
        <v>68</v>
      </c>
      <c r="F26" s="30" t="s">
        <v>120</v>
      </c>
      <c r="G26" s="30" t="s">
        <v>121</v>
      </c>
      <c r="H26" s="31" t="s">
        <v>122</v>
      </c>
      <c r="I26" s="32" t="s">
        <v>123</v>
      </c>
      <c r="J26" s="30" t="s">
        <v>27</v>
      </c>
    </row>
    <row r="27" customFormat="false" ht="15" hidden="false" customHeight="false" outlineLevel="0" collapsed="false">
      <c r="B27" s="1" t="s">
        <v>63</v>
      </c>
      <c r="C27" s="33" t="s">
        <v>112</v>
      </c>
      <c r="D27" s="34" t="n">
        <v>50</v>
      </c>
      <c r="E27" s="35" t="s">
        <v>74</v>
      </c>
      <c r="F27" s="4" t="n">
        <f aca="false">VLOOKUP(C27,'Master Bahan'!$B$4:$G$44,4,0)</f>
        <v>17</v>
      </c>
      <c r="G27" s="4" t="n">
        <f aca="false">F27*D27</f>
        <v>850</v>
      </c>
      <c r="H27" s="4" t="n">
        <f aca="false">SUM(G27:G28)</f>
        <v>1450</v>
      </c>
      <c r="I27" s="4" t="n">
        <f aca="false">H27*$I$1</f>
        <v>145</v>
      </c>
      <c r="J27" s="4" t="n">
        <f aca="false">H27+I27</f>
        <v>1595</v>
      </c>
    </row>
    <row r="28" customFormat="false" ht="15" hidden="false" customHeight="false" outlineLevel="0" collapsed="false">
      <c r="B28" s="1" t="s">
        <v>130</v>
      </c>
      <c r="C28" s="33" t="s">
        <v>113</v>
      </c>
      <c r="D28" s="34" t="n">
        <v>12.5</v>
      </c>
      <c r="E28" s="35" t="s">
        <v>74</v>
      </c>
      <c r="F28" s="4" t="n">
        <f aca="false">VLOOKUP(C28,'Master Bahan'!$B$4:$G$44,4,0)</f>
        <v>48</v>
      </c>
      <c r="G28" s="4" t="n">
        <f aca="false">F28*D28</f>
        <v>600</v>
      </c>
      <c r="H28" s="4"/>
    </row>
    <row r="29" customFormat="false" ht="15" hidden="false" customHeight="false" outlineLevel="0" collapsed="false">
      <c r="B29" s="1" t="s">
        <v>129</v>
      </c>
    </row>
    <row r="31" customFormat="false" ht="15" hidden="false" customHeight="false" outlineLevel="0" collapsed="false">
      <c r="A31" s="0" t="n">
        <v>5</v>
      </c>
      <c r="B31" s="28" t="s">
        <v>117</v>
      </c>
      <c r="C31" s="28" t="s">
        <v>118</v>
      </c>
      <c r="D31" s="29" t="s">
        <v>119</v>
      </c>
      <c r="E31" s="30" t="s">
        <v>68</v>
      </c>
      <c r="F31" s="30" t="s">
        <v>120</v>
      </c>
      <c r="G31" s="30" t="s">
        <v>121</v>
      </c>
      <c r="H31" s="31" t="s">
        <v>122</v>
      </c>
      <c r="I31" s="32" t="s">
        <v>123</v>
      </c>
      <c r="J31" s="30" t="s">
        <v>27</v>
      </c>
    </row>
    <row r="32" customFormat="false" ht="15" hidden="false" customHeight="false" outlineLevel="0" collapsed="false">
      <c r="B32" s="1" t="s">
        <v>65</v>
      </c>
      <c r="C32" s="1" t="s">
        <v>102</v>
      </c>
      <c r="D32" s="2" t="n">
        <v>15.4</v>
      </c>
      <c r="E32" s="2" t="s">
        <v>74</v>
      </c>
      <c r="F32" s="4" t="n">
        <f aca="false">VLOOKUP(C32,'Master Bahan'!$B$4:$G$44,4,0)</f>
        <v>100</v>
      </c>
      <c r="G32" s="4" t="n">
        <f aca="false">F32*D32</f>
        <v>1540</v>
      </c>
      <c r="H32" s="4" t="n">
        <f aca="false">SUM(G32:G36)</f>
        <v>2106.887894595</v>
      </c>
      <c r="I32" s="4" t="n">
        <f aca="false">H32*$I$1</f>
        <v>210.6887894595</v>
      </c>
      <c r="J32" s="4" t="n">
        <f aca="false">H32+I32</f>
        <v>2317.5766840545</v>
      </c>
    </row>
    <row r="33" customFormat="false" ht="15" hidden="false" customHeight="false" outlineLevel="0" collapsed="false">
      <c r="B33" s="1" t="s">
        <v>131</v>
      </c>
      <c r="C33" s="1" t="s">
        <v>103</v>
      </c>
      <c r="D33" s="2" t="n">
        <v>38.5</v>
      </c>
      <c r="E33" s="2" t="s">
        <v>81</v>
      </c>
      <c r="F33" s="4" t="n">
        <f aca="false">VLOOKUP(C33,'Master Bahan'!$B$4:$G$44,4,0)</f>
        <v>0.31578947</v>
      </c>
      <c r="G33" s="4" t="n">
        <f aca="false">F33*D33</f>
        <v>12.157894595</v>
      </c>
    </row>
    <row r="34" customFormat="false" ht="15" hidden="false" customHeight="false" outlineLevel="0" collapsed="false">
      <c r="B34" s="1" t="s">
        <v>129</v>
      </c>
      <c r="C34" s="1" t="s">
        <v>104</v>
      </c>
      <c r="D34" s="2" t="n">
        <v>3.1</v>
      </c>
      <c r="E34" s="2" t="s">
        <v>74</v>
      </c>
      <c r="F34" s="4" t="n">
        <f aca="false">VLOOKUP(C34,'Master Bahan'!$B$4:$G$44,4,0)</f>
        <v>50</v>
      </c>
      <c r="G34" s="4" t="n">
        <f aca="false">F34*D34</f>
        <v>155</v>
      </c>
    </row>
    <row r="35" customFormat="false" ht="15" hidden="false" customHeight="false" outlineLevel="0" collapsed="false">
      <c r="C35" s="1" t="s">
        <v>105</v>
      </c>
      <c r="D35" s="2" t="n">
        <v>3.34</v>
      </c>
      <c r="E35" s="2" t="s">
        <v>74</v>
      </c>
      <c r="F35" s="4" t="n">
        <f aca="false">VLOOKUP(C35,'Master Bahan'!$B$4:$G$44,4,0)</f>
        <v>112</v>
      </c>
      <c r="G35" s="4" t="n">
        <f aca="false">F35*D35</f>
        <v>374.08</v>
      </c>
    </row>
    <row r="36" customFormat="false" ht="15" hidden="false" customHeight="false" outlineLevel="0" collapsed="false">
      <c r="C36" s="1" t="s">
        <v>106</v>
      </c>
      <c r="D36" s="2" t="n">
        <v>0.513</v>
      </c>
      <c r="E36" s="2" t="s">
        <v>74</v>
      </c>
      <c r="F36" s="4" t="n">
        <f aca="false">VLOOKUP(C36,'Master Bahan'!$B$4:$G$44,4,0)</f>
        <v>50</v>
      </c>
      <c r="G36" s="4" t="n">
        <f aca="false">F36*D36</f>
        <v>25.65</v>
      </c>
    </row>
    <row r="37" customFormat="false" ht="15" hidden="false" customHeight="false" outlineLevel="0" collapsed="false">
      <c r="D37" s="2"/>
      <c r="E37" s="2"/>
      <c r="F37" s="4"/>
      <c r="G37" s="4"/>
    </row>
    <row r="38" customFormat="false" ht="15" hidden="false" customHeight="false" outlineLevel="0" collapsed="false">
      <c r="A38" s="0" t="n">
        <v>6</v>
      </c>
      <c r="B38" s="28" t="s">
        <v>117</v>
      </c>
      <c r="C38" s="28" t="s">
        <v>118</v>
      </c>
      <c r="D38" s="29" t="s">
        <v>119</v>
      </c>
      <c r="E38" s="30" t="s">
        <v>68</v>
      </c>
      <c r="F38" s="30" t="s">
        <v>120</v>
      </c>
      <c r="G38" s="30" t="s">
        <v>121</v>
      </c>
      <c r="H38" s="31" t="s">
        <v>122</v>
      </c>
      <c r="I38" s="32" t="s">
        <v>123</v>
      </c>
      <c r="J38" s="30" t="s">
        <v>27</v>
      </c>
    </row>
    <row r="39" customFormat="false" ht="15" hidden="false" customHeight="false" outlineLevel="0" collapsed="false">
      <c r="B39" s="1" t="s">
        <v>132</v>
      </c>
      <c r="C39" s="1" t="s">
        <v>75</v>
      </c>
      <c r="D39" s="1" t="n">
        <v>3.17</v>
      </c>
      <c r="E39" s="2" t="s">
        <v>74</v>
      </c>
      <c r="F39" s="4" t="n">
        <f aca="false">VLOOKUP(C39,'Master Bahan'!$B$4:$G$44,4,0)</f>
        <v>100</v>
      </c>
      <c r="G39" s="4" t="n">
        <f aca="false">F39*D39</f>
        <v>317</v>
      </c>
      <c r="H39" s="4" t="n">
        <f aca="false">SUM(G39:G46)</f>
        <v>994.31599998312</v>
      </c>
      <c r="I39" s="4" t="n">
        <f aca="false">H39*$I$1</f>
        <v>99.431599998312</v>
      </c>
      <c r="J39" s="4" t="n">
        <f aca="false">H39+I39</f>
        <v>1093.74759998143</v>
      </c>
    </row>
    <row r="40" customFormat="false" ht="15" hidden="false" customHeight="false" outlineLevel="0" collapsed="false">
      <c r="B40" s="1" t="s">
        <v>133</v>
      </c>
      <c r="C40" s="1" t="s">
        <v>77</v>
      </c>
      <c r="D40" s="1" t="n">
        <v>1</v>
      </c>
      <c r="E40" s="2" t="s">
        <v>74</v>
      </c>
      <c r="F40" s="4" t="n">
        <f aca="false">VLOOKUP(C40,'Master Bahan'!$B$4:$G$44,4,0)</f>
        <v>50</v>
      </c>
      <c r="G40" s="4" t="n">
        <f aca="false">F40*D40</f>
        <v>50</v>
      </c>
    </row>
    <row r="41" customFormat="false" ht="15" hidden="false" customHeight="false" outlineLevel="0" collapsed="false">
      <c r="B41" s="1" t="s">
        <v>134</v>
      </c>
      <c r="C41" s="1" t="s">
        <v>91</v>
      </c>
      <c r="D41" s="1" t="n">
        <v>25.32</v>
      </c>
      <c r="E41" s="2" t="s">
        <v>72</v>
      </c>
      <c r="F41" s="4" t="n">
        <f aca="false">VLOOKUP(C41,'Master Bahan'!$B$4:$G$44,4,0)</f>
        <v>15</v>
      </c>
      <c r="G41" s="4" t="n">
        <f aca="false">F41*D41</f>
        <v>379.8</v>
      </c>
    </row>
    <row r="42" customFormat="false" ht="15" hidden="false" customHeight="false" outlineLevel="0" collapsed="false">
      <c r="C42" s="1" t="s">
        <v>78</v>
      </c>
      <c r="D42" s="1" t="n">
        <v>4.33</v>
      </c>
      <c r="E42" s="2" t="s">
        <v>74</v>
      </c>
      <c r="F42" s="4" t="n">
        <f aca="false">VLOOKUP(C42,'Master Bahan'!$B$4:$G$44,4,0)</f>
        <v>40</v>
      </c>
      <c r="G42" s="4" t="n">
        <f aca="false">F42*D42</f>
        <v>173.2</v>
      </c>
    </row>
    <row r="43" customFormat="false" ht="15" hidden="false" customHeight="false" outlineLevel="0" collapsed="false">
      <c r="C43" s="1" t="s">
        <v>94</v>
      </c>
      <c r="D43" s="1" t="n">
        <v>0.05064</v>
      </c>
      <c r="E43" s="2" t="s">
        <v>74</v>
      </c>
      <c r="F43" s="4" t="n">
        <f aca="false">VLOOKUP(C43,'Master Bahan'!$B$4:$G$44,4,0)</f>
        <v>733.333333</v>
      </c>
      <c r="G43" s="4" t="n">
        <f aca="false">F43*D43</f>
        <v>37.13599998312</v>
      </c>
    </row>
    <row r="44" customFormat="false" ht="15" hidden="false" customHeight="false" outlineLevel="0" collapsed="false">
      <c r="C44" s="1" t="s">
        <v>126</v>
      </c>
      <c r="D44" s="4" t="n">
        <v>1.14</v>
      </c>
      <c r="E44" s="5" t="s">
        <v>74</v>
      </c>
      <c r="F44" s="4" t="n">
        <f aca="false">VLOOKUP(C44,'Master Bahan'!$B$4:$G$44,4,0)</f>
        <v>18</v>
      </c>
      <c r="G44" s="4" t="n">
        <f aca="false">F44*D44</f>
        <v>20.52</v>
      </c>
    </row>
    <row r="45" customFormat="false" ht="15" hidden="false" customHeight="false" outlineLevel="0" collapsed="false">
      <c r="C45" s="1" t="s">
        <v>85</v>
      </c>
      <c r="D45" s="4" t="n">
        <v>0.14</v>
      </c>
      <c r="E45" s="5" t="s">
        <v>74</v>
      </c>
      <c r="F45" s="4" t="n">
        <f aca="false">VLOOKUP(C45,'Master Bahan'!$B$4:$G$44,4,0)</f>
        <v>14</v>
      </c>
      <c r="G45" s="4" t="n">
        <f aca="false">F45*D45</f>
        <v>1.96</v>
      </c>
    </row>
    <row r="46" customFormat="false" ht="15" hidden="false" customHeight="false" outlineLevel="0" collapsed="false">
      <c r="C46" s="1" t="s">
        <v>83</v>
      </c>
      <c r="D46" s="4" t="n">
        <v>0.14</v>
      </c>
      <c r="E46" s="2" t="s">
        <v>74</v>
      </c>
      <c r="F46" s="4" t="n">
        <f aca="false">VLOOKUP(C46,'Master Bahan'!$B$4:$G$44,4,0)</f>
        <v>105</v>
      </c>
      <c r="G46" s="4" t="n">
        <f aca="false">F46*D46</f>
        <v>14.7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2" width="3.57"/>
    <col collapsed="false" customWidth="true" hidden="false" outlineLevel="0" max="2" min="2" style="1" width="17"/>
    <col collapsed="false" customWidth="true" hidden="false" outlineLevel="0" max="8" min="3" style="1" width="9.14"/>
  </cols>
  <sheetData>
    <row r="1" customFormat="false" ht="15" hidden="false" customHeight="false" outlineLevel="0" collapsed="false">
      <c r="A1" s="28" t="s">
        <v>20</v>
      </c>
      <c r="B1" s="28" t="s">
        <v>135</v>
      </c>
      <c r="C1" s="29" t="s">
        <v>119</v>
      </c>
      <c r="D1" s="30" t="s">
        <v>68</v>
      </c>
      <c r="E1" s="30" t="s">
        <v>120</v>
      </c>
      <c r="F1" s="30" t="s">
        <v>121</v>
      </c>
    </row>
    <row r="2" customFormat="false" ht="15" hidden="false" customHeight="false" outlineLevel="0" collapsed="false">
      <c r="A2" s="2" t="n">
        <v>1</v>
      </c>
      <c r="B2" s="1" t="s">
        <v>136</v>
      </c>
      <c r="C2" s="4" t="n">
        <v>425</v>
      </c>
      <c r="D2" s="5" t="s">
        <v>137</v>
      </c>
      <c r="E2" s="5" t="n">
        <f aca="false">200000/C2</f>
        <v>470.588235294118</v>
      </c>
      <c r="F2" s="4" t="n">
        <f aca="false">E2*C2</f>
        <v>200000</v>
      </c>
    </row>
    <row r="3" customFormat="false" ht="15" hidden="false" customHeight="false" outlineLevel="0" collapsed="false">
      <c r="A3" s="2" t="n">
        <v>2</v>
      </c>
      <c r="B3" s="1" t="s">
        <v>138</v>
      </c>
      <c r="C3" s="4" t="n">
        <v>3000</v>
      </c>
      <c r="D3" s="5" t="s">
        <v>137</v>
      </c>
      <c r="E3" s="5" t="n">
        <v>88</v>
      </c>
      <c r="F3" s="4" t="n">
        <f aca="false">E3*C3</f>
        <v>264000</v>
      </c>
    </row>
    <row r="4" customFormat="false" ht="15" hidden="false" customHeight="false" outlineLevel="0" collapsed="false">
      <c r="A4" s="2" t="n">
        <v>3</v>
      </c>
      <c r="B4" s="1" t="s">
        <v>139</v>
      </c>
      <c r="C4" s="4" t="n">
        <v>350</v>
      </c>
      <c r="D4" s="5" t="s">
        <v>137</v>
      </c>
      <c r="E4" s="5" t="n">
        <v>100</v>
      </c>
      <c r="F4" s="4" t="n">
        <f aca="false">E4*C4</f>
        <v>35000</v>
      </c>
    </row>
    <row r="5" customFormat="false" ht="15" hidden="false" customHeight="false" outlineLevel="0" collapsed="false">
      <c r="A5" s="2" t="n">
        <v>4</v>
      </c>
      <c r="B5" s="1" t="s">
        <v>140</v>
      </c>
      <c r="C5" s="4" t="n">
        <v>40</v>
      </c>
      <c r="D5" s="5" t="s">
        <v>137</v>
      </c>
      <c r="E5" s="5" t="n">
        <v>275</v>
      </c>
      <c r="F5" s="4" t="n">
        <f aca="false">E5*C5</f>
        <v>11000</v>
      </c>
    </row>
    <row r="6" customFormat="false" ht="15" hidden="false" customHeight="false" outlineLevel="0" collapsed="false">
      <c r="A6" s="2" t="n">
        <v>5</v>
      </c>
      <c r="B6" s="1" t="s">
        <v>141</v>
      </c>
      <c r="C6" s="4" t="n">
        <v>350</v>
      </c>
      <c r="D6" s="5" t="s">
        <v>137</v>
      </c>
      <c r="E6" s="5" t="n">
        <v>75</v>
      </c>
      <c r="F6" s="4" t="n">
        <f aca="false">E6*C6</f>
        <v>26250</v>
      </c>
    </row>
    <row r="7" customFormat="false" ht="15" hidden="false" customHeight="false" outlineLevel="0" collapsed="false">
      <c r="A7" s="2" t="n">
        <v>6</v>
      </c>
      <c r="B7" s="1" t="s">
        <v>142</v>
      </c>
      <c r="C7" s="4" t="n">
        <v>350</v>
      </c>
      <c r="D7" s="5" t="s">
        <v>137</v>
      </c>
      <c r="E7" s="5" t="n">
        <v>150</v>
      </c>
      <c r="F7" s="4" t="n">
        <f aca="false">E7*C7</f>
        <v>52500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9" activeCellId="0" sqref="B1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.57"/>
    <col collapsed="false" customWidth="true" hidden="false" outlineLevel="0" max="2" min="2" style="1" width="19.14"/>
    <col collapsed="false" customWidth="true" hidden="false" outlineLevel="0" max="3" min="3" style="1" width="14.57"/>
    <col collapsed="false" customWidth="true" hidden="false" outlineLevel="0" max="4" min="4" style="1" width="7"/>
    <col collapsed="false" customWidth="true" hidden="false" outlineLevel="0" max="5" min="5" style="1" width="6.14"/>
    <col collapsed="false" customWidth="true" hidden="false" outlineLevel="0" max="6" min="6" style="1" width="8.29"/>
    <col collapsed="false" customWidth="true" hidden="false" outlineLevel="0" max="7" min="7" style="1" width="7.57"/>
    <col collapsed="false" customWidth="true" hidden="false" outlineLevel="0" max="8" min="8" style="1" width="8.86"/>
    <col collapsed="false" customWidth="true" hidden="false" outlineLevel="0" max="9" min="9" style="1" width="7"/>
    <col collapsed="false" customWidth="true" hidden="false" outlineLevel="0" max="10" min="10" style="1" width="11.57"/>
  </cols>
  <sheetData>
    <row r="1" customFormat="false" ht="15" hidden="false" customHeight="false" outlineLevel="0" collapsed="false">
      <c r="D1" s="26"/>
      <c r="I1" s="27" t="n">
        <v>0.1</v>
      </c>
    </row>
    <row r="2" customFormat="false" ht="15" hidden="false" customHeight="false" outlineLevel="0" collapsed="false">
      <c r="A2" s="28" t="s">
        <v>20</v>
      </c>
      <c r="B2" s="28" t="s">
        <v>117</v>
      </c>
      <c r="C2" s="28" t="s">
        <v>118</v>
      </c>
      <c r="D2" s="29" t="s">
        <v>119</v>
      </c>
      <c r="E2" s="30" t="s">
        <v>68</v>
      </c>
      <c r="F2" s="30" t="s">
        <v>120</v>
      </c>
      <c r="G2" s="30" t="s">
        <v>121</v>
      </c>
      <c r="H2" s="31" t="s">
        <v>122</v>
      </c>
      <c r="I2" s="32" t="s">
        <v>123</v>
      </c>
      <c r="J2" s="30" t="s">
        <v>27</v>
      </c>
    </row>
    <row r="3" customFormat="false" ht="15" hidden="false" customHeight="false" outlineLevel="0" collapsed="false">
      <c r="B3" s="1" t="s">
        <v>41</v>
      </c>
      <c r="C3" s="1" t="s">
        <v>90</v>
      </c>
      <c r="D3" s="4" t="n">
        <v>22</v>
      </c>
      <c r="E3" s="5" t="s">
        <v>74</v>
      </c>
      <c r="F3" s="4" t="n">
        <f aca="false">VLOOKUP(C3,'Master Bahan'!$B$4:$G$44,4,0)</f>
        <v>25</v>
      </c>
      <c r="G3" s="4" t="n">
        <f aca="false">F3*D3</f>
        <v>550</v>
      </c>
      <c r="H3" s="4" t="n">
        <f aca="false">SUM(G3:G8)</f>
        <v>726.5357692304</v>
      </c>
      <c r="I3" s="4" t="n">
        <f aca="false">H3*$I$1</f>
        <v>72.65357692304</v>
      </c>
      <c r="J3" s="4" t="n">
        <f aca="false">H3+I3</f>
        <v>799.18934615344</v>
      </c>
    </row>
    <row r="4" customFormat="false" ht="15" hidden="false" customHeight="false" outlineLevel="0" collapsed="false">
      <c r="B4" s="1" t="s">
        <v>143</v>
      </c>
      <c r="C4" s="1" t="s">
        <v>92</v>
      </c>
      <c r="D4" s="4" t="n">
        <v>4.62</v>
      </c>
      <c r="E4" s="5" t="s">
        <v>74</v>
      </c>
      <c r="F4" s="4" t="n">
        <f aca="false">VLOOKUP(C4,'Master Bahan'!$B$4:$G$44,4,0)</f>
        <v>17</v>
      </c>
      <c r="G4" s="4" t="n">
        <f aca="false">F4*D4</f>
        <v>78.54</v>
      </c>
    </row>
    <row r="5" customFormat="false" ht="15" hidden="false" customHeight="false" outlineLevel="0" collapsed="false">
      <c r="B5" s="1" t="s">
        <v>144</v>
      </c>
      <c r="C5" s="1" t="s">
        <v>145</v>
      </c>
      <c r="D5" s="4" t="n">
        <v>3.2</v>
      </c>
      <c r="E5" s="5" t="s">
        <v>74</v>
      </c>
      <c r="F5" s="4" t="n">
        <f aca="false">VLOOKUP(C5,'Master Bahan'!$B$4:$G$44,4,0)</f>
        <v>15</v>
      </c>
      <c r="G5" s="4" t="n">
        <f aca="false">F5*D5</f>
        <v>48</v>
      </c>
    </row>
    <row r="6" customFormat="false" ht="15" hidden="false" customHeight="false" outlineLevel="0" collapsed="false">
      <c r="C6" s="1" t="s">
        <v>93</v>
      </c>
      <c r="D6" s="4" t="n">
        <v>0.31</v>
      </c>
      <c r="E6" s="5" t="s">
        <v>74</v>
      </c>
      <c r="F6" s="4" t="n">
        <f aca="false">VLOOKUP(C6,'Master Bahan'!$B$4:$G$44,4,0)</f>
        <v>56.5</v>
      </c>
      <c r="G6" s="4" t="n">
        <f aca="false">F6*D6</f>
        <v>17.515</v>
      </c>
    </row>
    <row r="7" customFormat="false" ht="15" hidden="false" customHeight="false" outlineLevel="0" collapsed="false">
      <c r="C7" s="1" t="s">
        <v>79</v>
      </c>
      <c r="D7" s="4" t="n">
        <v>0.31</v>
      </c>
      <c r="E7" s="5" t="s">
        <v>74</v>
      </c>
      <c r="F7" s="4" t="n">
        <f aca="false">VLOOKUP(C7,'Master Bahan'!$B$4:$G$44,4,0)</f>
        <v>75</v>
      </c>
      <c r="G7" s="4" t="n">
        <f aca="false">F7*D7</f>
        <v>23.25</v>
      </c>
    </row>
    <row r="8" customFormat="false" ht="15" hidden="false" customHeight="false" outlineLevel="0" collapsed="false">
      <c r="C8" s="1" t="s">
        <v>80</v>
      </c>
      <c r="D8" s="4" t="n">
        <v>0.15384615384</v>
      </c>
      <c r="E8" s="5" t="s">
        <v>74</v>
      </c>
      <c r="F8" s="4" t="n">
        <f aca="false">VLOOKUP(C8,'Master Bahan'!$B$4:$G$44,4,0)</f>
        <v>60</v>
      </c>
      <c r="G8" s="4" t="n">
        <f aca="false">F8*D8</f>
        <v>9.2307692304</v>
      </c>
    </row>
    <row r="10" customFormat="false" ht="15" hidden="false" customHeight="false" outlineLevel="0" collapsed="false">
      <c r="A10" s="28" t="s">
        <v>20</v>
      </c>
      <c r="B10" s="28" t="s">
        <v>117</v>
      </c>
      <c r="C10" s="28" t="s">
        <v>118</v>
      </c>
      <c r="D10" s="29" t="s">
        <v>119</v>
      </c>
      <c r="E10" s="30" t="s">
        <v>68</v>
      </c>
      <c r="F10" s="30" t="s">
        <v>120</v>
      </c>
      <c r="G10" s="30" t="s">
        <v>121</v>
      </c>
      <c r="H10" s="31" t="s">
        <v>122</v>
      </c>
      <c r="I10" s="32" t="s">
        <v>123</v>
      </c>
      <c r="J10" s="30" t="s">
        <v>27</v>
      </c>
    </row>
    <row r="11" customFormat="false" ht="15" hidden="false" customHeight="false" outlineLevel="0" collapsed="false">
      <c r="B11" s="1" t="s">
        <v>55</v>
      </c>
      <c r="C11" s="1" t="s">
        <v>90</v>
      </c>
      <c r="D11" s="4" t="n">
        <v>22</v>
      </c>
      <c r="E11" s="5" t="s">
        <v>74</v>
      </c>
      <c r="F11" s="4" t="n">
        <f aca="false">VLOOKUP(C11,'Master Bahan'!$B$4:$G$44,4,0)</f>
        <v>25</v>
      </c>
      <c r="G11" s="4" t="n">
        <f aca="false">F11*D11</f>
        <v>550</v>
      </c>
      <c r="H11" s="4" t="n">
        <f aca="false">SUM(G11:G16)</f>
        <v>726.5357692304</v>
      </c>
      <c r="I11" s="4" t="n">
        <f aca="false">H11*$I$1</f>
        <v>72.65357692304</v>
      </c>
      <c r="J11" s="4" t="n">
        <f aca="false">H11+I11</f>
        <v>799.18934615344</v>
      </c>
    </row>
    <row r="12" customFormat="false" ht="15" hidden="false" customHeight="false" outlineLevel="0" collapsed="false">
      <c r="B12" s="1" t="s">
        <v>143</v>
      </c>
      <c r="C12" s="1" t="s">
        <v>92</v>
      </c>
      <c r="D12" s="4" t="n">
        <v>4.62</v>
      </c>
      <c r="E12" s="5" t="s">
        <v>74</v>
      </c>
      <c r="F12" s="4" t="n">
        <f aca="false">VLOOKUP(C12,'Master Bahan'!$B$4:$G$44,4,0)</f>
        <v>17</v>
      </c>
      <c r="G12" s="4" t="n">
        <f aca="false">F12*D12</f>
        <v>78.54</v>
      </c>
    </row>
    <row r="13" customFormat="false" ht="15" hidden="false" customHeight="false" outlineLevel="0" collapsed="false">
      <c r="B13" s="1" t="s">
        <v>144</v>
      </c>
      <c r="C13" s="1" t="s">
        <v>145</v>
      </c>
      <c r="D13" s="4" t="n">
        <v>3.2</v>
      </c>
      <c r="E13" s="5" t="s">
        <v>74</v>
      </c>
      <c r="F13" s="4" t="n">
        <f aca="false">VLOOKUP(C13,'Master Bahan'!$B$4:$G$44,4,0)</f>
        <v>15</v>
      </c>
      <c r="G13" s="4" t="n">
        <f aca="false">F13*D13</f>
        <v>48</v>
      </c>
    </row>
    <row r="14" customFormat="false" ht="15" hidden="false" customHeight="false" outlineLevel="0" collapsed="false">
      <c r="C14" s="1" t="s">
        <v>93</v>
      </c>
      <c r="D14" s="4" t="n">
        <v>0.31</v>
      </c>
      <c r="E14" s="5" t="s">
        <v>74</v>
      </c>
      <c r="F14" s="4" t="n">
        <f aca="false">VLOOKUP(C14,'Master Bahan'!$B$4:$G$44,4,0)</f>
        <v>56.5</v>
      </c>
      <c r="G14" s="4" t="n">
        <f aca="false">F14*D14</f>
        <v>17.515</v>
      </c>
    </row>
    <row r="15" customFormat="false" ht="15" hidden="false" customHeight="false" outlineLevel="0" collapsed="false">
      <c r="C15" s="1" t="s">
        <v>79</v>
      </c>
      <c r="D15" s="4" t="n">
        <v>0.31</v>
      </c>
      <c r="E15" s="5" t="s">
        <v>74</v>
      </c>
      <c r="F15" s="4" t="n">
        <f aca="false">VLOOKUP(C15,'Master Bahan'!$B$4:$G$44,4,0)</f>
        <v>75</v>
      </c>
      <c r="G15" s="4" t="n">
        <f aca="false">F15*D15</f>
        <v>23.25</v>
      </c>
    </row>
    <row r="16" customFormat="false" ht="15" hidden="false" customHeight="false" outlineLevel="0" collapsed="false">
      <c r="C16" s="1" t="s">
        <v>80</v>
      </c>
      <c r="D16" s="4" t="n">
        <v>0.15384615384</v>
      </c>
      <c r="E16" s="5" t="s">
        <v>74</v>
      </c>
      <c r="F16" s="4" t="n">
        <f aca="false">VLOOKUP(C16,'Master Bahan'!$B$4:$G$44,4,0)</f>
        <v>60</v>
      </c>
      <c r="G16" s="4" t="n">
        <f aca="false">F16*D16</f>
        <v>9.2307692304</v>
      </c>
    </row>
    <row r="18" customFormat="false" ht="15" hidden="false" customHeight="false" outlineLevel="0" collapsed="false">
      <c r="A18" s="28" t="s">
        <v>20</v>
      </c>
      <c r="B18" s="28" t="s">
        <v>117</v>
      </c>
      <c r="C18" s="28" t="s">
        <v>118</v>
      </c>
      <c r="D18" s="29" t="s">
        <v>119</v>
      </c>
      <c r="E18" s="30" t="s">
        <v>68</v>
      </c>
      <c r="F18" s="30" t="s">
        <v>120</v>
      </c>
      <c r="G18" s="30" t="s">
        <v>121</v>
      </c>
      <c r="H18" s="31" t="s">
        <v>122</v>
      </c>
      <c r="I18" s="32" t="s">
        <v>123</v>
      </c>
      <c r="J18" s="30" t="s">
        <v>27</v>
      </c>
    </row>
    <row r="19" customFormat="false" ht="15" hidden="false" customHeight="false" outlineLevel="0" collapsed="false">
      <c r="B19" s="1" t="s">
        <v>61</v>
      </c>
      <c r="C19" s="1" t="s">
        <v>90</v>
      </c>
      <c r="D19" s="4" t="n">
        <v>43</v>
      </c>
      <c r="E19" s="5" t="s">
        <v>74</v>
      </c>
      <c r="F19" s="4" t="n">
        <f aca="false">VLOOKUP(C19,'Master Bahan'!$B$4:$G$44,4,0)</f>
        <v>25</v>
      </c>
      <c r="G19" s="4" t="n">
        <f aca="false">F19*D19</f>
        <v>1075</v>
      </c>
      <c r="H19" s="4" t="n">
        <f aca="false">SUM(G19:G24)</f>
        <v>1442.15</v>
      </c>
      <c r="I19" s="4" t="n">
        <f aca="false">H19*$I$1</f>
        <v>144.215</v>
      </c>
      <c r="J19" s="4" t="n">
        <f aca="false">H19+I19</f>
        <v>1586.365</v>
      </c>
    </row>
    <row r="20" customFormat="false" ht="15" hidden="false" customHeight="false" outlineLevel="0" collapsed="false">
      <c r="B20" s="1" t="s">
        <v>146</v>
      </c>
      <c r="C20" s="1" t="s">
        <v>92</v>
      </c>
      <c r="D20" s="4" t="n">
        <v>9.3</v>
      </c>
      <c r="E20" s="5" t="s">
        <v>74</v>
      </c>
      <c r="F20" s="4" t="n">
        <f aca="false">VLOOKUP(C20,'Master Bahan'!$B$4:$G$44,4,0)</f>
        <v>17</v>
      </c>
      <c r="G20" s="4" t="n">
        <f aca="false">F20*D20</f>
        <v>158.1</v>
      </c>
    </row>
    <row r="21" customFormat="false" ht="15" hidden="false" customHeight="false" outlineLevel="0" collapsed="false">
      <c r="B21" s="1" t="s">
        <v>129</v>
      </c>
      <c r="C21" s="1" t="s">
        <v>145</v>
      </c>
      <c r="D21" s="4" t="n">
        <v>6.2</v>
      </c>
      <c r="E21" s="5" t="s">
        <v>74</v>
      </c>
      <c r="F21" s="4" t="n">
        <f aca="false">VLOOKUP(C21,'Master Bahan'!$B$4:$G$44,4,0)</f>
        <v>15</v>
      </c>
      <c r="G21" s="4" t="n">
        <f aca="false">F21*D21</f>
        <v>93</v>
      </c>
    </row>
    <row r="22" customFormat="false" ht="15" hidden="false" customHeight="false" outlineLevel="0" collapsed="false">
      <c r="C22" s="1" t="s">
        <v>93</v>
      </c>
      <c r="D22" s="4" t="n">
        <v>0.7</v>
      </c>
      <c r="E22" s="5" t="s">
        <v>74</v>
      </c>
      <c r="F22" s="4" t="n">
        <f aca="false">VLOOKUP(C22,'Master Bahan'!$B$4:$G$44,4,0)</f>
        <v>56.5</v>
      </c>
      <c r="G22" s="4" t="n">
        <f aca="false">F22*D22</f>
        <v>39.55</v>
      </c>
    </row>
    <row r="23" customFormat="false" ht="15" hidden="false" customHeight="false" outlineLevel="0" collapsed="false">
      <c r="C23" s="1" t="s">
        <v>79</v>
      </c>
      <c r="D23" s="4" t="n">
        <v>0.7</v>
      </c>
      <c r="E23" s="5" t="s">
        <v>74</v>
      </c>
      <c r="F23" s="4" t="n">
        <f aca="false">VLOOKUP(C23,'Master Bahan'!$B$4:$G$44,4,0)</f>
        <v>75</v>
      </c>
      <c r="G23" s="4" t="n">
        <f aca="false">F23*D23</f>
        <v>52.5</v>
      </c>
    </row>
    <row r="24" customFormat="false" ht="15" hidden="false" customHeight="false" outlineLevel="0" collapsed="false">
      <c r="C24" s="1" t="s">
        <v>80</v>
      </c>
      <c r="D24" s="4" t="n">
        <v>0.4</v>
      </c>
      <c r="E24" s="5" t="s">
        <v>74</v>
      </c>
      <c r="F24" s="4" t="n">
        <f aca="false">VLOOKUP(C24,'Master Bahan'!$B$4:$G$44,4,0)</f>
        <v>60</v>
      </c>
      <c r="G24" s="4" t="n">
        <f aca="false">F24*D24</f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20.57"/>
    <col collapsed="false" customWidth="true" hidden="false" outlineLevel="0" max="3" min="3" style="1" width="18.57"/>
    <col collapsed="false" customWidth="true" hidden="false" outlineLevel="0" max="4" min="4" style="1" width="5.42"/>
    <col collapsed="false" customWidth="true" hidden="false" outlineLevel="0" max="5" min="5" style="1" width="6.14"/>
    <col collapsed="false" customWidth="true" hidden="false" outlineLevel="0" max="6" min="6" style="1" width="8.29"/>
    <col collapsed="false" customWidth="true" hidden="false" outlineLevel="0" max="8" min="7" style="1" width="6.57"/>
    <col collapsed="false" customWidth="true" hidden="false" outlineLevel="0" max="9" min="9" style="1" width="9.14"/>
    <col collapsed="false" customWidth="true" hidden="false" outlineLevel="0" max="10" min="10" style="1" width="11.57"/>
    <col collapsed="false" customWidth="true" hidden="false" outlineLevel="0" max="11" min="11" style="1" width="9.14"/>
  </cols>
  <sheetData>
    <row r="1" customFormat="false" ht="15" hidden="false" customHeight="false" outlineLevel="0" collapsed="false">
      <c r="I1" s="27" t="n">
        <v>0.1</v>
      </c>
    </row>
    <row r="2" customFormat="false" ht="15" hidden="false" customHeight="false" outlineLevel="0" collapsed="false">
      <c r="A2" s="28" t="s">
        <v>20</v>
      </c>
      <c r="B2" s="28" t="s">
        <v>117</v>
      </c>
      <c r="C2" s="28" t="s">
        <v>118</v>
      </c>
      <c r="D2" s="36" t="s">
        <v>119</v>
      </c>
      <c r="E2" s="30" t="s">
        <v>68</v>
      </c>
      <c r="F2" s="30" t="s">
        <v>120</v>
      </c>
      <c r="G2" s="30" t="s">
        <v>121</v>
      </c>
      <c r="H2" s="31" t="s">
        <v>122</v>
      </c>
      <c r="I2" s="32" t="s">
        <v>123</v>
      </c>
      <c r="J2" s="30" t="s">
        <v>27</v>
      </c>
    </row>
    <row r="3" customFormat="false" ht="15" hidden="false" customHeight="false" outlineLevel="0" collapsed="false">
      <c r="B3" s="1" t="s">
        <v>58</v>
      </c>
      <c r="C3" s="1" t="s">
        <v>71</v>
      </c>
      <c r="D3" s="4" t="n">
        <v>100</v>
      </c>
      <c r="E3" s="5" t="s">
        <v>74</v>
      </c>
      <c r="F3" s="4" t="n">
        <f aca="false">VLOOKUP(C3,'Master Bahan'!$B$4:$G$44,4,0)</f>
        <v>57</v>
      </c>
      <c r="G3" s="4" t="n">
        <f aca="false">F3*D3</f>
        <v>5700</v>
      </c>
      <c r="H3" s="4" t="n">
        <f aca="false">SUM(G3:G15)</f>
        <v>8624.1111112</v>
      </c>
      <c r="I3" s="4" t="n">
        <f aca="false">H3*$I$1</f>
        <v>862.41111112</v>
      </c>
      <c r="J3" s="4" t="n">
        <f aca="false">H3+I3</f>
        <v>9486.52222232</v>
      </c>
    </row>
    <row r="4" customFormat="false" ht="15" hidden="false" customHeight="false" outlineLevel="0" collapsed="false">
      <c r="C4" s="1" t="s">
        <v>73</v>
      </c>
      <c r="D4" s="4" t="n">
        <v>5.5</v>
      </c>
      <c r="E4" s="5" t="s">
        <v>74</v>
      </c>
      <c r="F4" s="4" t="n">
        <f aca="false">VLOOKUP(C4,'Master Bahan'!$B$4:$G$44,4,0)</f>
        <v>27</v>
      </c>
      <c r="G4" s="4" t="n">
        <f aca="false">F4*D4</f>
        <v>148.5</v>
      </c>
    </row>
    <row r="5" customFormat="false" ht="15" hidden="false" customHeight="false" outlineLevel="0" collapsed="false">
      <c r="C5" s="1" t="s">
        <v>89</v>
      </c>
      <c r="D5" s="4" t="n">
        <v>0.2</v>
      </c>
      <c r="E5" s="5" t="s">
        <v>74</v>
      </c>
      <c r="F5" s="4" t="n">
        <f aca="false">VLOOKUP(C5,'Master Bahan'!$B$4:$G$44,4,0)</f>
        <v>305.555556</v>
      </c>
      <c r="G5" s="4" t="n">
        <f aca="false">F5*D5</f>
        <v>61.1111112</v>
      </c>
    </row>
    <row r="6" customFormat="false" ht="15" hidden="false" customHeight="false" outlineLevel="0" collapsed="false">
      <c r="C6" s="1" t="s">
        <v>78</v>
      </c>
      <c r="D6" s="4" t="n">
        <v>2</v>
      </c>
      <c r="E6" s="5" t="s">
        <v>74</v>
      </c>
      <c r="F6" s="4" t="n">
        <f aca="false">VLOOKUP(C6,'Master Bahan'!$B$4:$G$44,4,0)</f>
        <v>40</v>
      </c>
      <c r="G6" s="4" t="n">
        <f aca="false">F6*D6</f>
        <v>80</v>
      </c>
    </row>
    <row r="7" customFormat="false" ht="15" hidden="false" customHeight="false" outlineLevel="0" collapsed="false">
      <c r="C7" s="1" t="s">
        <v>82</v>
      </c>
      <c r="D7" s="4" t="n">
        <v>1.5</v>
      </c>
      <c r="E7" s="5" t="s">
        <v>74</v>
      </c>
      <c r="F7" s="4" t="n">
        <f aca="false">VLOOKUP(C7,'Master Bahan'!$B$4:$G$44,4,0)</f>
        <v>53</v>
      </c>
      <c r="G7" s="4" t="n">
        <f aca="false">F7*D7</f>
        <v>79.5</v>
      </c>
    </row>
    <row r="8" customFormat="false" ht="15" hidden="false" customHeight="false" outlineLevel="0" collapsed="false">
      <c r="C8" s="1" t="s">
        <v>83</v>
      </c>
      <c r="D8" s="4" t="n">
        <v>2</v>
      </c>
      <c r="E8" s="5" t="s">
        <v>74</v>
      </c>
      <c r="F8" s="4" t="n">
        <f aca="false">VLOOKUP(C8,'Master Bahan'!$B$4:$G$44,4,0)</f>
        <v>105</v>
      </c>
      <c r="G8" s="4" t="n">
        <f aca="false">F8*D8</f>
        <v>210</v>
      </c>
    </row>
    <row r="9" customFormat="false" ht="15" hidden="false" customHeight="false" outlineLevel="0" collapsed="false">
      <c r="C9" s="1" t="s">
        <v>84</v>
      </c>
      <c r="D9" s="4" t="n">
        <v>1</v>
      </c>
      <c r="E9" s="5" t="s">
        <v>74</v>
      </c>
      <c r="F9" s="4" t="n">
        <f aca="false">VLOOKUP(C9,'Master Bahan'!$B$4:$G$44,4,0)</f>
        <v>50</v>
      </c>
      <c r="G9" s="4" t="n">
        <f aca="false">F9*D9</f>
        <v>50</v>
      </c>
    </row>
    <row r="10" customFormat="false" ht="15" hidden="false" customHeight="false" outlineLevel="0" collapsed="false">
      <c r="C10" s="1" t="s">
        <v>85</v>
      </c>
      <c r="D10" s="4" t="n">
        <v>0.5</v>
      </c>
      <c r="E10" s="5" t="s">
        <v>74</v>
      </c>
      <c r="F10" s="4" t="n">
        <f aca="false">VLOOKUP(C10,'Master Bahan'!$B$4:$G$44,4,0)</f>
        <v>14</v>
      </c>
      <c r="G10" s="4" t="n">
        <f aca="false">F10*D10</f>
        <v>7</v>
      </c>
    </row>
    <row r="11" customFormat="false" ht="15" hidden="false" customHeight="false" outlineLevel="0" collapsed="false">
      <c r="C11" s="1" t="s">
        <v>95</v>
      </c>
      <c r="D11" s="1" t="n">
        <v>50</v>
      </c>
      <c r="E11" s="2" t="s">
        <v>81</v>
      </c>
      <c r="F11" s="4" t="n">
        <f aca="false">VLOOKUP(C11,'Master Bahan'!$B$4:$G$44,4,0)</f>
        <v>19</v>
      </c>
      <c r="G11" s="4" t="n">
        <f aca="false">F11*D11</f>
        <v>950</v>
      </c>
    </row>
    <row r="12" customFormat="false" ht="15" hidden="false" customHeight="false" outlineLevel="0" collapsed="false">
      <c r="C12" s="1" t="s">
        <v>88</v>
      </c>
      <c r="D12" s="4" t="n">
        <v>10</v>
      </c>
      <c r="E12" s="5" t="s">
        <v>74</v>
      </c>
      <c r="F12" s="4" t="n">
        <f aca="false">VLOOKUP(C12,'Master Bahan'!$B$4:$G$44,4,0)</f>
        <v>22</v>
      </c>
      <c r="G12" s="4" t="n">
        <f aca="false">F12*D12</f>
        <v>220</v>
      </c>
    </row>
    <row r="13" customFormat="false" ht="15" hidden="false" customHeight="false" outlineLevel="0" collapsed="false">
      <c r="C13" s="1" t="s">
        <v>114</v>
      </c>
      <c r="D13" s="2" t="n">
        <v>2</v>
      </c>
      <c r="E13" s="2" t="s">
        <v>74</v>
      </c>
      <c r="F13" s="4" t="n">
        <f aca="false">VLOOKUP(C13,'Master Bahan'!$B$4:$G$44,4,0)</f>
        <v>416</v>
      </c>
      <c r="G13" s="4" t="n">
        <f aca="false">F13*D13</f>
        <v>832</v>
      </c>
    </row>
    <row r="14" customFormat="false" ht="15" hidden="false" customHeight="false" outlineLevel="0" collapsed="false">
      <c r="C14" s="1" t="s">
        <v>147</v>
      </c>
      <c r="D14" s="4" t="n">
        <v>13</v>
      </c>
      <c r="E14" s="5" t="s">
        <v>74</v>
      </c>
      <c r="F14" s="4" t="n">
        <f aca="false">VLOOKUP(C14,'Master Bahan'!$B$4:$G$44,4,0)</f>
        <v>22</v>
      </c>
      <c r="G14" s="4" t="n">
        <f aca="false">F14*D14</f>
        <v>286</v>
      </c>
    </row>
    <row r="15" customFormat="false" ht="15" hidden="false" customHeight="false" outlineLevel="0" collapsed="false">
      <c r="E15" s="5"/>
      <c r="G15" s="4"/>
    </row>
    <row r="17" customFormat="false" ht="15" hidden="false" customHeight="false" outlineLevel="0" collapsed="false">
      <c r="A17" s="28" t="s">
        <v>20</v>
      </c>
      <c r="B17" s="28" t="s">
        <v>117</v>
      </c>
      <c r="C17" s="28" t="s">
        <v>118</v>
      </c>
      <c r="D17" s="36" t="s">
        <v>119</v>
      </c>
      <c r="E17" s="30" t="s">
        <v>68</v>
      </c>
      <c r="F17" s="30" t="s">
        <v>120</v>
      </c>
      <c r="G17" s="30" t="s">
        <v>121</v>
      </c>
      <c r="H17" s="31" t="s">
        <v>122</v>
      </c>
      <c r="I17" s="32" t="s">
        <v>123</v>
      </c>
      <c r="J17" s="30" t="s">
        <v>27</v>
      </c>
    </row>
    <row r="18" customFormat="false" ht="15" hidden="false" customHeight="false" outlineLevel="0" collapsed="false">
      <c r="B18" s="1" t="s">
        <v>148</v>
      </c>
      <c r="C18" s="1" t="s">
        <v>71</v>
      </c>
      <c r="D18" s="4" t="n">
        <v>100</v>
      </c>
      <c r="E18" s="5" t="s">
        <v>74</v>
      </c>
      <c r="F18" s="4" t="n">
        <f aca="false">VLOOKUP(C18,'Master Bahan'!$B$4:$G$44,4,0)</f>
        <v>57</v>
      </c>
      <c r="G18" s="4" t="n">
        <f aca="false">F18*D18</f>
        <v>5700</v>
      </c>
      <c r="H18" s="4" t="n">
        <f aca="false">SUM(G18:G30)</f>
        <v>8624.1111112</v>
      </c>
      <c r="I18" s="4" t="n">
        <f aca="false">H18*$I$1</f>
        <v>862.41111112</v>
      </c>
      <c r="J18" s="4" t="n">
        <f aca="false">H18+I18</f>
        <v>9486.52222232</v>
      </c>
    </row>
    <row r="19" customFormat="false" ht="15" hidden="false" customHeight="false" outlineLevel="0" collapsed="false">
      <c r="C19" s="1" t="s">
        <v>73</v>
      </c>
      <c r="D19" s="4" t="n">
        <v>5.5</v>
      </c>
      <c r="E19" s="5" t="s">
        <v>74</v>
      </c>
      <c r="F19" s="4" t="n">
        <f aca="false">VLOOKUP(C19,'Master Bahan'!$B$4:$G$44,4,0)</f>
        <v>27</v>
      </c>
      <c r="G19" s="4" t="n">
        <f aca="false">F19*D19</f>
        <v>148.5</v>
      </c>
    </row>
    <row r="20" customFormat="false" ht="15" hidden="false" customHeight="false" outlineLevel="0" collapsed="false">
      <c r="C20" s="1" t="s">
        <v>89</v>
      </c>
      <c r="D20" s="4" t="n">
        <v>0.2</v>
      </c>
      <c r="E20" s="5" t="s">
        <v>74</v>
      </c>
      <c r="F20" s="4" t="n">
        <f aca="false">VLOOKUP(C20,'Master Bahan'!$B$4:$G$44,4,0)</f>
        <v>305.555556</v>
      </c>
      <c r="G20" s="4" t="n">
        <f aca="false">F20*D20</f>
        <v>61.1111112</v>
      </c>
    </row>
    <row r="21" customFormat="false" ht="15" hidden="false" customHeight="false" outlineLevel="0" collapsed="false">
      <c r="C21" s="1" t="s">
        <v>78</v>
      </c>
      <c r="D21" s="4" t="n">
        <v>2</v>
      </c>
      <c r="E21" s="5" t="s">
        <v>74</v>
      </c>
      <c r="F21" s="4" t="n">
        <f aca="false">VLOOKUP(C21,'Master Bahan'!$B$4:$G$44,4,0)</f>
        <v>40</v>
      </c>
      <c r="G21" s="4" t="n">
        <f aca="false">F21*D21</f>
        <v>80</v>
      </c>
    </row>
    <row r="22" customFormat="false" ht="15" hidden="false" customHeight="false" outlineLevel="0" collapsed="false">
      <c r="C22" s="1" t="s">
        <v>82</v>
      </c>
      <c r="D22" s="4" t="n">
        <v>1.5</v>
      </c>
      <c r="E22" s="5" t="s">
        <v>74</v>
      </c>
      <c r="F22" s="4" t="n">
        <f aca="false">VLOOKUP(C22,'Master Bahan'!$B$4:$G$44,4,0)</f>
        <v>53</v>
      </c>
      <c r="G22" s="4" t="n">
        <f aca="false">F22*D22</f>
        <v>79.5</v>
      </c>
    </row>
    <row r="23" customFormat="false" ht="15" hidden="false" customHeight="false" outlineLevel="0" collapsed="false">
      <c r="C23" s="1" t="s">
        <v>83</v>
      </c>
      <c r="D23" s="4" t="n">
        <v>2</v>
      </c>
      <c r="E23" s="5" t="s">
        <v>74</v>
      </c>
      <c r="F23" s="4" t="n">
        <f aca="false">VLOOKUP(C23,'Master Bahan'!$B$4:$G$44,4,0)</f>
        <v>105</v>
      </c>
      <c r="G23" s="4" t="n">
        <f aca="false">F23*D23</f>
        <v>210</v>
      </c>
    </row>
    <row r="24" customFormat="false" ht="15" hidden="false" customHeight="false" outlineLevel="0" collapsed="false">
      <c r="C24" s="1" t="s">
        <v>84</v>
      </c>
      <c r="D24" s="4" t="n">
        <v>1</v>
      </c>
      <c r="E24" s="5" t="s">
        <v>74</v>
      </c>
      <c r="F24" s="4" t="n">
        <f aca="false">VLOOKUP(C24,'Master Bahan'!$B$4:$G$44,4,0)</f>
        <v>50</v>
      </c>
      <c r="G24" s="4" t="n">
        <f aca="false">F24*D24</f>
        <v>50</v>
      </c>
    </row>
    <row r="25" customFormat="false" ht="15" hidden="false" customHeight="false" outlineLevel="0" collapsed="false">
      <c r="C25" s="1" t="s">
        <v>85</v>
      </c>
      <c r="D25" s="4" t="n">
        <v>0.5</v>
      </c>
      <c r="E25" s="5" t="s">
        <v>74</v>
      </c>
      <c r="F25" s="4" t="n">
        <f aca="false">VLOOKUP(C25,'Master Bahan'!$B$4:$G$44,4,0)</f>
        <v>14</v>
      </c>
      <c r="G25" s="4" t="n">
        <f aca="false">F25*D25</f>
        <v>7</v>
      </c>
    </row>
    <row r="26" customFormat="false" ht="15" hidden="false" customHeight="false" outlineLevel="0" collapsed="false">
      <c r="C26" s="1" t="s">
        <v>95</v>
      </c>
      <c r="D26" s="1" t="n">
        <v>50</v>
      </c>
      <c r="E26" s="2" t="s">
        <v>81</v>
      </c>
      <c r="F26" s="4" t="n">
        <f aca="false">VLOOKUP(C26,'Master Bahan'!$B$4:$G$44,4,0)</f>
        <v>19</v>
      </c>
      <c r="G26" s="4" t="n">
        <f aca="false">F26*D26</f>
        <v>950</v>
      </c>
    </row>
    <row r="27" customFormat="false" ht="15" hidden="false" customHeight="false" outlineLevel="0" collapsed="false">
      <c r="C27" s="1" t="s">
        <v>88</v>
      </c>
      <c r="D27" s="4" t="n">
        <v>10</v>
      </c>
      <c r="E27" s="5" t="s">
        <v>74</v>
      </c>
      <c r="F27" s="4" t="n">
        <f aca="false">VLOOKUP(C27,'Master Bahan'!$B$4:$G$44,4,0)</f>
        <v>22</v>
      </c>
      <c r="G27" s="4" t="n">
        <f aca="false">F27*D27</f>
        <v>220</v>
      </c>
    </row>
    <row r="28" customFormat="false" ht="15" hidden="false" customHeight="false" outlineLevel="0" collapsed="false">
      <c r="C28" s="1" t="s">
        <v>114</v>
      </c>
      <c r="D28" s="2" t="n">
        <v>2</v>
      </c>
      <c r="E28" s="2" t="s">
        <v>74</v>
      </c>
      <c r="F28" s="4" t="n">
        <f aca="false">VLOOKUP(C28,'Master Bahan'!$B$4:$G$44,4,0)</f>
        <v>416</v>
      </c>
      <c r="G28" s="4" t="n">
        <f aca="false">F28*D28</f>
        <v>832</v>
      </c>
    </row>
    <row r="29" customFormat="false" ht="15" hidden="false" customHeight="false" outlineLevel="0" collapsed="false">
      <c r="C29" s="1" t="s">
        <v>147</v>
      </c>
      <c r="D29" s="4" t="n">
        <v>13</v>
      </c>
      <c r="E29" s="5" t="s">
        <v>74</v>
      </c>
      <c r="F29" s="4" t="n">
        <f aca="false">VLOOKUP(C29,'Master Bahan'!$B$4:$G$44,4,0)</f>
        <v>22</v>
      </c>
      <c r="G29" s="4" t="n">
        <f aca="false">F29*D29</f>
        <v>286</v>
      </c>
    </row>
    <row r="30" customFormat="false" ht="15" hidden="false" customHeight="false" outlineLevel="0" collapsed="false">
      <c r="C30" s="1" t="s">
        <v>59</v>
      </c>
      <c r="E30" s="5" t="s">
        <v>74</v>
      </c>
      <c r="G30" s="4" t="n">
        <f aca="false">F30*D30</f>
        <v>0</v>
      </c>
    </row>
    <row r="32" customFormat="false" ht="15" hidden="false" customHeight="false" outlineLevel="0" collapsed="false">
      <c r="A32" s="28" t="s">
        <v>20</v>
      </c>
      <c r="B32" s="28" t="s">
        <v>117</v>
      </c>
      <c r="C32" s="28" t="s">
        <v>118</v>
      </c>
      <c r="D32" s="36" t="s">
        <v>119</v>
      </c>
      <c r="E32" s="30" t="s">
        <v>68</v>
      </c>
      <c r="F32" s="30" t="s">
        <v>120</v>
      </c>
      <c r="G32" s="30" t="s">
        <v>121</v>
      </c>
      <c r="H32" s="31" t="s">
        <v>122</v>
      </c>
      <c r="I32" s="32" t="s">
        <v>123</v>
      </c>
      <c r="J32" s="30" t="s">
        <v>27</v>
      </c>
    </row>
    <row r="33" customFormat="false" ht="15" hidden="false" customHeight="false" outlineLevel="0" collapsed="false">
      <c r="B33" s="1" t="s">
        <v>149</v>
      </c>
      <c r="C33" s="1" t="s">
        <v>71</v>
      </c>
      <c r="D33" s="4" t="n">
        <v>100</v>
      </c>
      <c r="E33" s="5" t="s">
        <v>74</v>
      </c>
      <c r="F33" s="4" t="n">
        <f aca="false">VLOOKUP(C33,'Master Bahan'!$B$4:$G$44,4,0)</f>
        <v>57</v>
      </c>
      <c r="G33" s="4" t="n">
        <f aca="false">F33*D33</f>
        <v>5700</v>
      </c>
      <c r="H33" s="4" t="n">
        <f aca="false">SUM(G33:G45)</f>
        <v>8624.1111112</v>
      </c>
      <c r="I33" s="4" t="n">
        <f aca="false">H33*$I$1</f>
        <v>862.41111112</v>
      </c>
      <c r="J33" s="4" t="n">
        <f aca="false">H33+I33</f>
        <v>9486.52222232</v>
      </c>
    </row>
    <row r="34" customFormat="false" ht="15" hidden="false" customHeight="false" outlineLevel="0" collapsed="false">
      <c r="C34" s="1" t="s">
        <v>73</v>
      </c>
      <c r="D34" s="4" t="n">
        <v>5.5</v>
      </c>
      <c r="E34" s="5" t="s">
        <v>74</v>
      </c>
      <c r="F34" s="4" t="n">
        <f aca="false">VLOOKUP(C34,'Master Bahan'!$B$4:$G$44,4,0)</f>
        <v>27</v>
      </c>
      <c r="G34" s="4" t="n">
        <f aca="false">F34*D34</f>
        <v>148.5</v>
      </c>
    </row>
    <row r="35" customFormat="false" ht="15" hidden="false" customHeight="false" outlineLevel="0" collapsed="false">
      <c r="C35" s="1" t="s">
        <v>89</v>
      </c>
      <c r="D35" s="4" t="n">
        <v>0.2</v>
      </c>
      <c r="E35" s="5" t="s">
        <v>74</v>
      </c>
      <c r="F35" s="4" t="n">
        <f aca="false">VLOOKUP(C35,'Master Bahan'!$B$4:$G$44,4,0)</f>
        <v>305.555556</v>
      </c>
      <c r="G35" s="4" t="n">
        <f aca="false">F35*D35</f>
        <v>61.1111112</v>
      </c>
    </row>
    <row r="36" customFormat="false" ht="15" hidden="false" customHeight="false" outlineLevel="0" collapsed="false">
      <c r="C36" s="1" t="s">
        <v>78</v>
      </c>
      <c r="D36" s="4" t="n">
        <v>2</v>
      </c>
      <c r="E36" s="5" t="s">
        <v>74</v>
      </c>
      <c r="F36" s="4" t="n">
        <f aca="false">VLOOKUP(C36,'Master Bahan'!$B$4:$G$44,4,0)</f>
        <v>40</v>
      </c>
      <c r="G36" s="4" t="n">
        <f aca="false">F36*D36</f>
        <v>80</v>
      </c>
    </row>
    <row r="37" customFormat="false" ht="15" hidden="false" customHeight="false" outlineLevel="0" collapsed="false">
      <c r="C37" s="1" t="s">
        <v>82</v>
      </c>
      <c r="D37" s="4" t="n">
        <v>1.5</v>
      </c>
      <c r="E37" s="5" t="s">
        <v>74</v>
      </c>
      <c r="F37" s="4" t="n">
        <f aca="false">VLOOKUP(C37,'Master Bahan'!$B$4:$G$44,4,0)</f>
        <v>53</v>
      </c>
      <c r="G37" s="4" t="n">
        <f aca="false">F37*D37</f>
        <v>79.5</v>
      </c>
    </row>
    <row r="38" customFormat="false" ht="15" hidden="false" customHeight="false" outlineLevel="0" collapsed="false">
      <c r="C38" s="1" t="s">
        <v>83</v>
      </c>
      <c r="D38" s="4" t="n">
        <v>2</v>
      </c>
      <c r="E38" s="5" t="s">
        <v>74</v>
      </c>
      <c r="F38" s="4" t="n">
        <f aca="false">VLOOKUP(C38,'Master Bahan'!$B$4:$G$44,4,0)</f>
        <v>105</v>
      </c>
      <c r="G38" s="4" t="n">
        <f aca="false">F38*D38</f>
        <v>210</v>
      </c>
    </row>
    <row r="39" customFormat="false" ht="15" hidden="false" customHeight="false" outlineLevel="0" collapsed="false">
      <c r="C39" s="1" t="s">
        <v>84</v>
      </c>
      <c r="D39" s="4" t="n">
        <v>1</v>
      </c>
      <c r="E39" s="5" t="s">
        <v>74</v>
      </c>
      <c r="F39" s="4" t="n">
        <f aca="false">VLOOKUP(C39,'Master Bahan'!$B$4:$G$44,4,0)</f>
        <v>50</v>
      </c>
      <c r="G39" s="4" t="n">
        <f aca="false">F39*D39</f>
        <v>50</v>
      </c>
    </row>
    <row r="40" customFormat="false" ht="15" hidden="false" customHeight="false" outlineLevel="0" collapsed="false">
      <c r="C40" s="1" t="s">
        <v>85</v>
      </c>
      <c r="D40" s="4" t="n">
        <v>0.5</v>
      </c>
      <c r="E40" s="5" t="s">
        <v>74</v>
      </c>
      <c r="F40" s="4" t="n">
        <f aca="false">VLOOKUP(C40,'Master Bahan'!$B$4:$G$44,4,0)</f>
        <v>14</v>
      </c>
      <c r="G40" s="4" t="n">
        <f aca="false">F40*D40</f>
        <v>7</v>
      </c>
    </row>
    <row r="41" customFormat="false" ht="15" hidden="false" customHeight="false" outlineLevel="0" collapsed="false">
      <c r="C41" s="1" t="s">
        <v>95</v>
      </c>
      <c r="D41" s="1" t="n">
        <v>50</v>
      </c>
      <c r="E41" s="2" t="s">
        <v>81</v>
      </c>
      <c r="F41" s="4" t="n">
        <f aca="false">VLOOKUP(C41,'Master Bahan'!$B$4:$G$44,4,0)</f>
        <v>19</v>
      </c>
      <c r="G41" s="4" t="n">
        <f aca="false">F41*D41</f>
        <v>950</v>
      </c>
    </row>
    <row r="42" customFormat="false" ht="15" hidden="false" customHeight="false" outlineLevel="0" collapsed="false">
      <c r="C42" s="1" t="s">
        <v>88</v>
      </c>
      <c r="D42" s="4" t="n">
        <v>10</v>
      </c>
      <c r="E42" s="5" t="s">
        <v>74</v>
      </c>
      <c r="F42" s="4" t="n">
        <f aca="false">VLOOKUP(C42,'Master Bahan'!$B$4:$G$44,4,0)</f>
        <v>22</v>
      </c>
      <c r="G42" s="4" t="n">
        <f aca="false">F42*D42</f>
        <v>220</v>
      </c>
    </row>
    <row r="43" customFormat="false" ht="15" hidden="false" customHeight="false" outlineLevel="0" collapsed="false">
      <c r="C43" s="1" t="s">
        <v>114</v>
      </c>
      <c r="D43" s="2" t="n">
        <v>2</v>
      </c>
      <c r="E43" s="2" t="s">
        <v>74</v>
      </c>
      <c r="F43" s="4" t="n">
        <f aca="false">VLOOKUP(C43,'Master Bahan'!$B$4:$G$44,4,0)</f>
        <v>416</v>
      </c>
      <c r="G43" s="4" t="n">
        <f aca="false">F43*D43</f>
        <v>832</v>
      </c>
    </row>
    <row r="44" customFormat="false" ht="15" hidden="false" customHeight="false" outlineLevel="0" collapsed="false">
      <c r="C44" s="1" t="s">
        <v>147</v>
      </c>
      <c r="D44" s="4" t="n">
        <v>13</v>
      </c>
      <c r="E44" s="5" t="s">
        <v>74</v>
      </c>
      <c r="F44" s="4" t="n">
        <f aca="false">VLOOKUP(C44,'Master Bahan'!$B$4:$G$44,4,0)</f>
        <v>22</v>
      </c>
      <c r="G44" s="4" t="n">
        <f aca="false">F44*D44</f>
        <v>286</v>
      </c>
    </row>
    <row r="45" customFormat="false" ht="15" hidden="false" customHeight="false" outlineLevel="0" collapsed="false">
      <c r="C45" s="1" t="s">
        <v>63</v>
      </c>
      <c r="E45" s="5" t="s">
        <v>74</v>
      </c>
      <c r="G45" s="4" t="n">
        <f aca="false">F45*D45</f>
        <v>0</v>
      </c>
    </row>
    <row r="47" customFormat="false" ht="15" hidden="false" customHeight="false" outlineLevel="0" collapsed="false">
      <c r="A47" s="28" t="s">
        <v>20</v>
      </c>
      <c r="B47" s="28" t="s">
        <v>117</v>
      </c>
      <c r="C47" s="28" t="s">
        <v>118</v>
      </c>
      <c r="D47" s="36" t="s">
        <v>119</v>
      </c>
      <c r="E47" s="30" t="s">
        <v>68</v>
      </c>
      <c r="F47" s="30" t="s">
        <v>120</v>
      </c>
      <c r="G47" s="30" t="s">
        <v>121</v>
      </c>
      <c r="H47" s="31" t="s">
        <v>122</v>
      </c>
      <c r="I47" s="32" t="s">
        <v>123</v>
      </c>
      <c r="J47" s="30" t="s">
        <v>27</v>
      </c>
    </row>
    <row r="48" customFormat="false" ht="15" hidden="false" customHeight="false" outlineLevel="0" collapsed="false">
      <c r="B48" s="1" t="s">
        <v>150</v>
      </c>
      <c r="C48" s="1" t="s">
        <v>71</v>
      </c>
      <c r="D48" s="4" t="n">
        <v>100</v>
      </c>
      <c r="E48" s="5" t="s">
        <v>74</v>
      </c>
      <c r="F48" s="4" t="n">
        <f aca="false">VLOOKUP(C48,'Master Bahan'!$B$4:$G$44,4,0)</f>
        <v>57</v>
      </c>
      <c r="G48" s="4" t="n">
        <f aca="false">F48*D48</f>
        <v>5700</v>
      </c>
      <c r="H48" s="4" t="n">
        <f aca="false">SUM(G48:G60)</f>
        <v>8624.1111112</v>
      </c>
      <c r="I48" s="4" t="n">
        <f aca="false">H48*$I$1</f>
        <v>862.41111112</v>
      </c>
      <c r="J48" s="4" t="n">
        <f aca="false">H48+I48</f>
        <v>9486.52222232</v>
      </c>
    </row>
    <row r="49" customFormat="false" ht="15" hidden="false" customHeight="false" outlineLevel="0" collapsed="false">
      <c r="C49" s="1" t="s">
        <v>73</v>
      </c>
      <c r="D49" s="4" t="n">
        <v>5.5</v>
      </c>
      <c r="E49" s="5" t="s">
        <v>74</v>
      </c>
      <c r="F49" s="4" t="n">
        <f aca="false">VLOOKUP(C49,'Master Bahan'!$B$4:$G$44,4,0)</f>
        <v>27</v>
      </c>
      <c r="G49" s="4" t="n">
        <f aca="false">F49*D49</f>
        <v>148.5</v>
      </c>
    </row>
    <row r="50" customFormat="false" ht="15" hidden="false" customHeight="false" outlineLevel="0" collapsed="false">
      <c r="C50" s="1" t="s">
        <v>89</v>
      </c>
      <c r="D50" s="4" t="n">
        <v>0.2</v>
      </c>
      <c r="E50" s="5" t="s">
        <v>74</v>
      </c>
      <c r="F50" s="4" t="n">
        <f aca="false">VLOOKUP(C50,'Master Bahan'!$B$4:$G$44,4,0)</f>
        <v>305.555556</v>
      </c>
      <c r="G50" s="4" t="n">
        <f aca="false">F50*D50</f>
        <v>61.1111112</v>
      </c>
    </row>
    <row r="51" customFormat="false" ht="15" hidden="false" customHeight="false" outlineLevel="0" collapsed="false">
      <c r="C51" s="1" t="s">
        <v>78</v>
      </c>
      <c r="D51" s="4" t="n">
        <v>2</v>
      </c>
      <c r="E51" s="5" t="s">
        <v>74</v>
      </c>
      <c r="F51" s="4" t="n">
        <f aca="false">VLOOKUP(C51,'Master Bahan'!$B$4:$G$44,4,0)</f>
        <v>40</v>
      </c>
      <c r="G51" s="4" t="n">
        <f aca="false">F51*D51</f>
        <v>80</v>
      </c>
    </row>
    <row r="52" customFormat="false" ht="15" hidden="false" customHeight="false" outlineLevel="0" collapsed="false">
      <c r="C52" s="1" t="s">
        <v>82</v>
      </c>
      <c r="D52" s="4" t="n">
        <v>1.5</v>
      </c>
      <c r="E52" s="5" t="s">
        <v>74</v>
      </c>
      <c r="F52" s="4" t="n">
        <f aca="false">VLOOKUP(C52,'Master Bahan'!$B$4:$G$44,4,0)</f>
        <v>53</v>
      </c>
      <c r="G52" s="4" t="n">
        <f aca="false">F52*D52</f>
        <v>79.5</v>
      </c>
    </row>
    <row r="53" customFormat="false" ht="15" hidden="false" customHeight="false" outlineLevel="0" collapsed="false">
      <c r="C53" s="1" t="s">
        <v>83</v>
      </c>
      <c r="D53" s="4" t="n">
        <v>2</v>
      </c>
      <c r="E53" s="5" t="s">
        <v>74</v>
      </c>
      <c r="F53" s="4" t="n">
        <f aca="false">VLOOKUP(C53,'Master Bahan'!$B$4:$G$44,4,0)</f>
        <v>105</v>
      </c>
      <c r="G53" s="4" t="n">
        <f aca="false">F53*D53</f>
        <v>210</v>
      </c>
    </row>
    <row r="54" customFormat="false" ht="15" hidden="false" customHeight="false" outlineLevel="0" collapsed="false">
      <c r="C54" s="1" t="s">
        <v>84</v>
      </c>
      <c r="D54" s="4" t="n">
        <v>1</v>
      </c>
      <c r="E54" s="5" t="s">
        <v>74</v>
      </c>
      <c r="F54" s="4" t="n">
        <f aca="false">VLOOKUP(C54,'Master Bahan'!$B$4:$G$44,4,0)</f>
        <v>50</v>
      </c>
      <c r="G54" s="4" t="n">
        <f aca="false">F54*D54</f>
        <v>50</v>
      </c>
    </row>
    <row r="55" customFormat="false" ht="15" hidden="false" customHeight="false" outlineLevel="0" collapsed="false">
      <c r="C55" s="1" t="s">
        <v>85</v>
      </c>
      <c r="D55" s="4" t="n">
        <v>0.5</v>
      </c>
      <c r="E55" s="5" t="s">
        <v>74</v>
      </c>
      <c r="F55" s="4" t="n">
        <f aca="false">VLOOKUP(C55,'Master Bahan'!$B$4:$G$44,4,0)</f>
        <v>14</v>
      </c>
      <c r="G55" s="4" t="n">
        <f aca="false">F55*D55</f>
        <v>7</v>
      </c>
    </row>
    <row r="56" customFormat="false" ht="15" hidden="false" customHeight="false" outlineLevel="0" collapsed="false">
      <c r="C56" s="1" t="s">
        <v>95</v>
      </c>
      <c r="D56" s="1" t="n">
        <v>50</v>
      </c>
      <c r="E56" s="2" t="s">
        <v>81</v>
      </c>
      <c r="F56" s="4" t="n">
        <f aca="false">VLOOKUP(C56,'Master Bahan'!$B$4:$G$44,4,0)</f>
        <v>19</v>
      </c>
      <c r="G56" s="4" t="n">
        <f aca="false">F56*D56</f>
        <v>950</v>
      </c>
    </row>
    <row r="57" customFormat="false" ht="15" hidden="false" customHeight="false" outlineLevel="0" collapsed="false">
      <c r="C57" s="1" t="s">
        <v>88</v>
      </c>
      <c r="D57" s="4" t="n">
        <v>10</v>
      </c>
      <c r="E57" s="5" t="s">
        <v>74</v>
      </c>
      <c r="F57" s="4" t="n">
        <f aca="false">VLOOKUP(C57,'Master Bahan'!$B$4:$G$44,4,0)</f>
        <v>22</v>
      </c>
      <c r="G57" s="4" t="n">
        <f aca="false">F57*D57</f>
        <v>220</v>
      </c>
    </row>
    <row r="58" customFormat="false" ht="15" hidden="false" customHeight="false" outlineLevel="0" collapsed="false">
      <c r="C58" s="1" t="s">
        <v>114</v>
      </c>
      <c r="D58" s="2" t="n">
        <v>2</v>
      </c>
      <c r="E58" s="2" t="s">
        <v>74</v>
      </c>
      <c r="F58" s="4" t="n">
        <f aca="false">VLOOKUP(C58,'Master Bahan'!$B$4:$G$44,4,0)</f>
        <v>416</v>
      </c>
      <c r="G58" s="4" t="n">
        <f aca="false">F58*D58</f>
        <v>832</v>
      </c>
    </row>
    <row r="59" customFormat="false" ht="15" hidden="false" customHeight="false" outlineLevel="0" collapsed="false">
      <c r="C59" s="1" t="s">
        <v>147</v>
      </c>
      <c r="D59" s="4" t="n">
        <v>13</v>
      </c>
      <c r="E59" s="5" t="s">
        <v>74</v>
      </c>
      <c r="F59" s="4" t="n">
        <f aca="false">VLOOKUP(C59,'Master Bahan'!$B$4:$G$44,4,0)</f>
        <v>22</v>
      </c>
      <c r="G59" s="4" t="n">
        <f aca="false">F59*D59</f>
        <v>286</v>
      </c>
    </row>
    <row r="60" customFormat="false" ht="15" hidden="false" customHeight="false" outlineLevel="0" collapsed="false">
      <c r="C60" s="1" t="s">
        <v>151</v>
      </c>
      <c r="E60" s="5" t="s">
        <v>74</v>
      </c>
      <c r="G60" s="4" t="n">
        <f aca="false">F60*D60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1" width="16.43"/>
    <col collapsed="false" customWidth="true" hidden="false" outlineLevel="0" max="3" min="3" style="1" width="18.57"/>
    <col collapsed="false" customWidth="true" hidden="false" outlineLevel="0" max="4" min="4" style="37" width="6.43"/>
    <col collapsed="false" customWidth="true" hidden="false" outlineLevel="0" max="5" min="5" style="1" width="5.86"/>
    <col collapsed="false" customWidth="true" hidden="false" outlineLevel="0" max="6" min="6" style="1" width="8"/>
    <col collapsed="false" customWidth="true" hidden="false" outlineLevel="0" max="8" min="7" style="1" width="7.57"/>
    <col collapsed="false" customWidth="true" hidden="false" outlineLevel="0" max="9" min="9" style="1" width="9.14"/>
    <col collapsed="false" customWidth="true" hidden="false" outlineLevel="0" max="10" min="10" style="1" width="9.71"/>
  </cols>
  <sheetData>
    <row r="1" customFormat="false" ht="15" hidden="false" customHeight="false" outlineLevel="0" collapsed="false">
      <c r="D1" s="38"/>
      <c r="E1" s="5"/>
      <c r="F1" s="4"/>
      <c r="G1" s="4"/>
      <c r="H1" s="4"/>
      <c r="I1" s="39" t="n">
        <v>0.1</v>
      </c>
      <c r="J1" s="4"/>
    </row>
    <row r="2" customFormat="false" ht="15" hidden="false" customHeight="false" outlineLevel="0" collapsed="false">
      <c r="A2" s="40" t="s">
        <v>20</v>
      </c>
      <c r="B2" s="28" t="s">
        <v>117</v>
      </c>
      <c r="C2" s="28" t="s">
        <v>118</v>
      </c>
      <c r="D2" s="36" t="s">
        <v>119</v>
      </c>
      <c r="E2" s="30" t="s">
        <v>68</v>
      </c>
      <c r="F2" s="30" t="s">
        <v>120</v>
      </c>
      <c r="G2" s="30" t="s">
        <v>121</v>
      </c>
      <c r="H2" s="31" t="s">
        <v>122</v>
      </c>
      <c r="I2" s="32" t="s">
        <v>123</v>
      </c>
      <c r="J2" s="30" t="s">
        <v>27</v>
      </c>
    </row>
    <row r="3" customFormat="false" ht="15" hidden="false" customHeight="false" outlineLevel="0" collapsed="false">
      <c r="B3" s="1" t="s">
        <v>152</v>
      </c>
      <c r="C3" s="1" t="s">
        <v>71</v>
      </c>
      <c r="D3" s="38" t="n">
        <v>25</v>
      </c>
      <c r="E3" s="5" t="s">
        <v>74</v>
      </c>
      <c r="F3" s="4" t="n">
        <f aca="false">VLOOKUP(C3,'Master Bahan'!$B$4:$G$44,4,0)</f>
        <v>57</v>
      </c>
      <c r="G3" s="4" t="n">
        <f aca="false">F3*D3</f>
        <v>1425</v>
      </c>
      <c r="H3" s="4" t="n">
        <f aca="false">SUM(G3:G16)</f>
        <v>3035.825</v>
      </c>
      <c r="I3" s="4" t="n">
        <f aca="false">H3*$I$1</f>
        <v>303.5825</v>
      </c>
      <c r="J3" s="4" t="n">
        <f aca="false">H3+I3</f>
        <v>3339.4075</v>
      </c>
    </row>
    <row r="4" customFormat="false" ht="15" hidden="false" customHeight="false" outlineLevel="0" collapsed="false">
      <c r="C4" s="1" t="s">
        <v>73</v>
      </c>
      <c r="D4" s="38" t="n">
        <v>1.375</v>
      </c>
      <c r="E4" s="5" t="s">
        <v>74</v>
      </c>
      <c r="F4" s="4" t="n">
        <f aca="false">VLOOKUP(C4,'Master Bahan'!$B$4:$G$44,4,0)</f>
        <v>27</v>
      </c>
      <c r="G4" s="4" t="n">
        <f aca="false">F4*D4</f>
        <v>37.125</v>
      </c>
    </row>
    <row r="5" customFormat="false" ht="15" hidden="false" customHeight="false" outlineLevel="0" collapsed="false">
      <c r="C5" s="1" t="s">
        <v>109</v>
      </c>
      <c r="D5" s="38" t="n">
        <v>2</v>
      </c>
      <c r="E5" s="5" t="s">
        <v>108</v>
      </c>
      <c r="F5" s="4" t="n">
        <f aca="false">VLOOKUP(C5,'Master Bahan'!$B$4:$G$44,4,0)</f>
        <v>240</v>
      </c>
      <c r="G5" s="4" t="n">
        <f aca="false">F5*D5</f>
        <v>480</v>
      </c>
    </row>
    <row r="6" customFormat="false" ht="15" hidden="false" customHeight="false" outlineLevel="0" collapsed="false">
      <c r="C6" s="1" t="s">
        <v>78</v>
      </c>
      <c r="D6" s="38" t="n">
        <v>0.625</v>
      </c>
      <c r="E6" s="5" t="s">
        <v>74</v>
      </c>
      <c r="F6" s="4" t="n">
        <f aca="false">VLOOKUP(C6,'Master Bahan'!$B$4:$G$44,4,0)</f>
        <v>40</v>
      </c>
      <c r="G6" s="4" t="n">
        <f aca="false">F6*D6</f>
        <v>25</v>
      </c>
    </row>
    <row r="7" customFormat="false" ht="15" hidden="false" customHeight="false" outlineLevel="0" collapsed="false">
      <c r="C7" s="1" t="s">
        <v>79</v>
      </c>
      <c r="D7" s="38" t="n">
        <v>0.5</v>
      </c>
      <c r="E7" s="5" t="s">
        <v>74</v>
      </c>
      <c r="F7" s="4" t="n">
        <f aca="false">VLOOKUP(C7,'Master Bahan'!$B$4:$G$44,4,0)</f>
        <v>75</v>
      </c>
      <c r="G7" s="4" t="n">
        <f aca="false">F7*D7</f>
        <v>37.5</v>
      </c>
    </row>
    <row r="8" customFormat="false" ht="15" hidden="false" customHeight="false" outlineLevel="0" collapsed="false">
      <c r="C8" s="1" t="s">
        <v>80</v>
      </c>
      <c r="D8" s="38" t="n">
        <v>0.125</v>
      </c>
      <c r="E8" s="5" t="s">
        <v>74</v>
      </c>
      <c r="F8" s="4" t="n">
        <f aca="false">VLOOKUP(C8,'Master Bahan'!$B$4:$G$44,4,0)</f>
        <v>60</v>
      </c>
      <c r="G8" s="4" t="n">
        <f aca="false">F8*D8</f>
        <v>7.5</v>
      </c>
    </row>
    <row r="9" customFormat="false" ht="15" hidden="false" customHeight="false" outlineLevel="0" collapsed="false">
      <c r="C9" s="1" t="s">
        <v>82</v>
      </c>
      <c r="D9" s="38" t="n">
        <v>0.75</v>
      </c>
      <c r="E9" s="5" t="s">
        <v>74</v>
      </c>
      <c r="F9" s="4" t="n">
        <f aca="false">VLOOKUP(C9,'Master Bahan'!$B$4:$G$44,4,0)</f>
        <v>53</v>
      </c>
      <c r="G9" s="4" t="n">
        <f aca="false">F9*D9</f>
        <v>39.75</v>
      </c>
    </row>
    <row r="10" customFormat="false" ht="15" hidden="false" customHeight="false" outlineLevel="0" collapsed="false">
      <c r="C10" s="1" t="s">
        <v>83</v>
      </c>
      <c r="D10" s="38" t="n">
        <v>0.5</v>
      </c>
      <c r="E10" s="5" t="s">
        <v>74</v>
      </c>
      <c r="F10" s="4" t="n">
        <f aca="false">VLOOKUP(C10,'Master Bahan'!$B$4:$G$44,4,0)</f>
        <v>105</v>
      </c>
      <c r="G10" s="4" t="n">
        <f aca="false">F10*D10</f>
        <v>52.5</v>
      </c>
    </row>
    <row r="11" customFormat="false" ht="15" hidden="false" customHeight="false" outlineLevel="0" collapsed="false">
      <c r="C11" s="1" t="s">
        <v>84</v>
      </c>
      <c r="D11" s="38" t="n">
        <v>0.375</v>
      </c>
      <c r="E11" s="5" t="s">
        <v>74</v>
      </c>
      <c r="F11" s="4" t="n">
        <f aca="false">VLOOKUP(C11,'Master Bahan'!$B$4:$G$44,4,0)</f>
        <v>50</v>
      </c>
      <c r="G11" s="4" t="n">
        <f aca="false">F11*D11</f>
        <v>18.75</v>
      </c>
    </row>
    <row r="12" customFormat="false" ht="15" hidden="false" customHeight="false" outlineLevel="0" collapsed="false">
      <c r="C12" s="1" t="s">
        <v>85</v>
      </c>
      <c r="D12" s="38" t="n">
        <v>0.175</v>
      </c>
      <c r="E12" s="5" t="s">
        <v>74</v>
      </c>
      <c r="F12" s="4" t="n">
        <f aca="false">VLOOKUP(C12,'Master Bahan'!$B$4:$G$44,4,0)</f>
        <v>14</v>
      </c>
      <c r="G12" s="4" t="n">
        <f aca="false">F12*D12</f>
        <v>2.45</v>
      </c>
    </row>
    <row r="13" customFormat="false" ht="15" hidden="false" customHeight="false" outlineLevel="0" collapsed="false">
      <c r="C13" s="1" t="s">
        <v>126</v>
      </c>
      <c r="D13" s="38" t="n">
        <v>0.625</v>
      </c>
      <c r="E13" s="5" t="s">
        <v>74</v>
      </c>
      <c r="F13" s="4" t="n">
        <f aca="false">VLOOKUP(C13,'Master Bahan'!$B$4:$G$44,4,0)</f>
        <v>18</v>
      </c>
      <c r="G13" s="4" t="n">
        <f aca="false">F13*D13</f>
        <v>11.25</v>
      </c>
    </row>
    <row r="14" customFormat="false" ht="15" hidden="false" customHeight="false" outlineLevel="0" collapsed="false">
      <c r="C14" s="1" t="s">
        <v>102</v>
      </c>
      <c r="D14" s="38" t="n">
        <v>8</v>
      </c>
      <c r="E14" s="5" t="s">
        <v>74</v>
      </c>
      <c r="F14" s="4" t="n">
        <f aca="false">VLOOKUP(C14,'Master Bahan'!$B$4:$G$44,4,0)</f>
        <v>100</v>
      </c>
      <c r="G14" s="4" t="n">
        <f aca="false">F14*D14</f>
        <v>800</v>
      </c>
    </row>
    <row r="15" customFormat="false" ht="15" hidden="false" customHeight="false" outlineLevel="0" collapsed="false">
      <c r="C15" s="1" t="s">
        <v>88</v>
      </c>
      <c r="D15" s="38" t="n">
        <v>4.5</v>
      </c>
      <c r="E15" s="5" t="s">
        <v>74</v>
      </c>
      <c r="F15" s="4" t="n">
        <f aca="false">VLOOKUP(C15,'Master Bahan'!$B$4:$G$44,4,0)</f>
        <v>22</v>
      </c>
      <c r="G15" s="4" t="n">
        <f aca="false">F15*D15</f>
        <v>99</v>
      </c>
    </row>
    <row r="16" customFormat="false" ht="15" hidden="false" customHeight="false" outlineLevel="0" collapsed="false">
      <c r="F16" s="4"/>
    </row>
    <row r="17" customFormat="false" ht="15" hidden="false" customHeight="false" outlineLevel="0" collapsed="false">
      <c r="A17" s="40" t="s">
        <v>20</v>
      </c>
      <c r="B17" s="28" t="s">
        <v>117</v>
      </c>
      <c r="C17" s="28" t="s">
        <v>118</v>
      </c>
      <c r="D17" s="36" t="s">
        <v>119</v>
      </c>
      <c r="E17" s="30" t="s">
        <v>68</v>
      </c>
      <c r="F17" s="30" t="s">
        <v>120</v>
      </c>
      <c r="G17" s="30" t="s">
        <v>121</v>
      </c>
      <c r="H17" s="31" t="s">
        <v>122</v>
      </c>
      <c r="I17" s="32" t="s">
        <v>123</v>
      </c>
      <c r="J17" s="30" t="s">
        <v>27</v>
      </c>
    </row>
    <row r="18" customFormat="false" ht="15" hidden="false" customHeight="false" outlineLevel="0" collapsed="false">
      <c r="B18" s="1" t="s">
        <v>153</v>
      </c>
      <c r="C18" s="1" t="s">
        <v>71</v>
      </c>
      <c r="D18" s="38" t="n">
        <v>25</v>
      </c>
      <c r="E18" s="5" t="s">
        <v>74</v>
      </c>
      <c r="F18" s="4" t="n">
        <f aca="false">VLOOKUP(C18,'Master Bahan'!$B$4:$G$44,4,0)</f>
        <v>57</v>
      </c>
      <c r="G18" s="4" t="n">
        <f aca="false">F18*D18</f>
        <v>1425</v>
      </c>
      <c r="H18" s="4" t="n">
        <f aca="false">SUM(G18:G31)</f>
        <v>3035.825</v>
      </c>
      <c r="I18" s="4" t="n">
        <f aca="false">H18*$I$1</f>
        <v>303.5825</v>
      </c>
      <c r="J18" s="4" t="n">
        <f aca="false">H18+I18</f>
        <v>3339.4075</v>
      </c>
    </row>
    <row r="19" customFormat="false" ht="15" hidden="false" customHeight="false" outlineLevel="0" collapsed="false">
      <c r="C19" s="1" t="s">
        <v>73</v>
      </c>
      <c r="D19" s="38" t="n">
        <v>1.375</v>
      </c>
      <c r="E19" s="5" t="s">
        <v>74</v>
      </c>
      <c r="F19" s="4" t="n">
        <f aca="false">VLOOKUP(C19,'Master Bahan'!$B$4:$G$44,4,0)</f>
        <v>27</v>
      </c>
      <c r="G19" s="4" t="n">
        <f aca="false">F19*D19</f>
        <v>37.125</v>
      </c>
    </row>
    <row r="20" customFormat="false" ht="15" hidden="false" customHeight="false" outlineLevel="0" collapsed="false">
      <c r="C20" s="1" t="s">
        <v>109</v>
      </c>
      <c r="D20" s="38" t="n">
        <v>2</v>
      </c>
      <c r="E20" s="5" t="s">
        <v>108</v>
      </c>
      <c r="F20" s="4" t="n">
        <f aca="false">VLOOKUP(C20,'Master Bahan'!$B$4:$G$44,4,0)</f>
        <v>240</v>
      </c>
      <c r="G20" s="4" t="n">
        <f aca="false">F20*D20</f>
        <v>480</v>
      </c>
    </row>
    <row r="21" customFormat="false" ht="15" hidden="false" customHeight="false" outlineLevel="0" collapsed="false">
      <c r="C21" s="1" t="s">
        <v>78</v>
      </c>
      <c r="D21" s="38" t="n">
        <v>0.625</v>
      </c>
      <c r="E21" s="5" t="s">
        <v>74</v>
      </c>
      <c r="F21" s="4" t="n">
        <f aca="false">VLOOKUP(C21,'Master Bahan'!$B$4:$G$44,4,0)</f>
        <v>40</v>
      </c>
      <c r="G21" s="4" t="n">
        <f aca="false">F21*D21</f>
        <v>25</v>
      </c>
    </row>
    <row r="22" customFormat="false" ht="15" hidden="false" customHeight="false" outlineLevel="0" collapsed="false">
      <c r="C22" s="1" t="s">
        <v>79</v>
      </c>
      <c r="D22" s="38" t="n">
        <v>0.5</v>
      </c>
      <c r="E22" s="5" t="s">
        <v>74</v>
      </c>
      <c r="F22" s="4" t="n">
        <f aca="false">VLOOKUP(C22,'Master Bahan'!$B$4:$G$44,4,0)</f>
        <v>75</v>
      </c>
      <c r="G22" s="4" t="n">
        <f aca="false">F22*D22</f>
        <v>37.5</v>
      </c>
    </row>
    <row r="23" customFormat="false" ht="15" hidden="false" customHeight="false" outlineLevel="0" collapsed="false">
      <c r="C23" s="1" t="s">
        <v>80</v>
      </c>
      <c r="D23" s="38" t="n">
        <v>0.125</v>
      </c>
      <c r="E23" s="5" t="s">
        <v>74</v>
      </c>
      <c r="F23" s="4" t="n">
        <f aca="false">VLOOKUP(C23,'Master Bahan'!$B$4:$G$44,4,0)</f>
        <v>60</v>
      </c>
      <c r="G23" s="4" t="n">
        <f aca="false">F23*D23</f>
        <v>7.5</v>
      </c>
    </row>
    <row r="24" customFormat="false" ht="15" hidden="false" customHeight="false" outlineLevel="0" collapsed="false">
      <c r="C24" s="1" t="s">
        <v>82</v>
      </c>
      <c r="D24" s="38" t="n">
        <v>0.75</v>
      </c>
      <c r="E24" s="5" t="s">
        <v>74</v>
      </c>
      <c r="F24" s="4" t="n">
        <f aca="false">VLOOKUP(C24,'Master Bahan'!$B$4:$G$44,4,0)</f>
        <v>53</v>
      </c>
      <c r="G24" s="4" t="n">
        <f aca="false">F24*D24</f>
        <v>39.75</v>
      </c>
    </row>
    <row r="25" customFormat="false" ht="15" hidden="false" customHeight="false" outlineLevel="0" collapsed="false">
      <c r="C25" s="1" t="s">
        <v>83</v>
      </c>
      <c r="D25" s="38" t="n">
        <v>0.5</v>
      </c>
      <c r="E25" s="5" t="s">
        <v>74</v>
      </c>
      <c r="F25" s="4" t="n">
        <f aca="false">VLOOKUP(C25,'Master Bahan'!$B$4:$G$44,4,0)</f>
        <v>105</v>
      </c>
      <c r="G25" s="4" t="n">
        <f aca="false">F25*D25</f>
        <v>52.5</v>
      </c>
    </row>
    <row r="26" customFormat="false" ht="15" hidden="false" customHeight="false" outlineLevel="0" collapsed="false">
      <c r="C26" s="1" t="s">
        <v>84</v>
      </c>
      <c r="D26" s="38" t="n">
        <v>0.375</v>
      </c>
      <c r="E26" s="5" t="s">
        <v>74</v>
      </c>
      <c r="F26" s="4" t="n">
        <f aca="false">VLOOKUP(C26,'Master Bahan'!$B$4:$G$44,4,0)</f>
        <v>50</v>
      </c>
      <c r="G26" s="4" t="n">
        <f aca="false">F26*D26</f>
        <v>18.75</v>
      </c>
    </row>
    <row r="27" customFormat="false" ht="15" hidden="false" customHeight="false" outlineLevel="0" collapsed="false">
      <c r="C27" s="1" t="s">
        <v>85</v>
      </c>
      <c r="D27" s="38" t="n">
        <v>0.175</v>
      </c>
      <c r="E27" s="5" t="s">
        <v>74</v>
      </c>
      <c r="F27" s="4" t="n">
        <f aca="false">VLOOKUP(C27,'Master Bahan'!$B$4:$G$44,4,0)</f>
        <v>14</v>
      </c>
      <c r="G27" s="4" t="n">
        <f aca="false">F27*D27</f>
        <v>2.45</v>
      </c>
    </row>
    <row r="28" customFormat="false" ht="15" hidden="false" customHeight="false" outlineLevel="0" collapsed="false">
      <c r="C28" s="1" t="s">
        <v>126</v>
      </c>
      <c r="D28" s="38" t="n">
        <v>0.625</v>
      </c>
      <c r="E28" s="5" t="s">
        <v>74</v>
      </c>
      <c r="F28" s="4" t="n">
        <f aca="false">VLOOKUP(C28,'Master Bahan'!$B$4:$G$44,4,0)</f>
        <v>18</v>
      </c>
      <c r="G28" s="4" t="n">
        <f aca="false">F28*D28</f>
        <v>11.25</v>
      </c>
    </row>
    <row r="29" customFormat="false" ht="15" hidden="false" customHeight="false" outlineLevel="0" collapsed="false">
      <c r="C29" s="1" t="s">
        <v>102</v>
      </c>
      <c r="D29" s="38" t="n">
        <v>8</v>
      </c>
      <c r="E29" s="5" t="s">
        <v>74</v>
      </c>
      <c r="F29" s="4" t="n">
        <f aca="false">VLOOKUP(C29,'Master Bahan'!$B$4:$G$44,4,0)</f>
        <v>100</v>
      </c>
      <c r="G29" s="4" t="n">
        <f aca="false">F29*D29</f>
        <v>800</v>
      </c>
    </row>
    <row r="30" customFormat="false" ht="15" hidden="false" customHeight="false" outlineLevel="0" collapsed="false">
      <c r="C30" s="1" t="s">
        <v>88</v>
      </c>
      <c r="D30" s="38" t="n">
        <v>4.5</v>
      </c>
      <c r="E30" s="5" t="s">
        <v>74</v>
      </c>
      <c r="F30" s="4" t="n">
        <f aca="false">VLOOKUP(C30,'Master Bahan'!$B$4:$G$44,4,0)</f>
        <v>22</v>
      </c>
      <c r="G30" s="4" t="n">
        <f aca="false">F30*D30</f>
        <v>99</v>
      </c>
    </row>
    <row r="31" customFormat="false" ht="15" hidden="false" customHeight="false" outlineLevel="0" collapsed="false">
      <c r="C31" s="1" t="s">
        <v>154</v>
      </c>
      <c r="E31" s="2" t="s">
        <v>74</v>
      </c>
      <c r="F31" s="4"/>
    </row>
    <row r="32" customFormat="false" ht="15" hidden="false" customHeight="false" outlineLevel="0" collapsed="false">
      <c r="F32" s="4"/>
    </row>
    <row r="33" customFormat="false" ht="15" hidden="false" customHeight="false" outlineLevel="0" collapsed="false">
      <c r="F33" s="4"/>
    </row>
    <row r="34" customFormat="false" ht="15" hidden="false" customHeight="false" outlineLevel="0" collapsed="false">
      <c r="F34" s="4"/>
    </row>
    <row r="35" customFormat="false" ht="15" hidden="false" customHeight="false" outlineLevel="0" collapsed="false">
      <c r="F35" s="4"/>
    </row>
    <row r="36" customFormat="false" ht="15" hidden="false" customHeight="false" outlineLevel="0" collapsed="false">
      <c r="F36" s="4"/>
    </row>
    <row r="37" customFormat="false" ht="15" hidden="false" customHeight="false" outlineLevel="0" collapsed="false">
      <c r="F37" s="4"/>
    </row>
    <row r="38" customFormat="false" ht="15" hidden="false" customHeight="false" outlineLevel="0" collapsed="false">
      <c r="F38" s="4"/>
    </row>
    <row r="39" customFormat="false" ht="15" hidden="false" customHeight="false" outlineLevel="0" collapsed="false">
      <c r="F39" s="4"/>
    </row>
    <row r="40" customFormat="false" ht="15" hidden="false" customHeight="false" outlineLevel="0" collapsed="false">
      <c r="F40" s="4"/>
    </row>
    <row r="41" customFormat="false" ht="15" hidden="false" customHeight="false" outlineLevel="0" collapsed="false">
      <c r="F4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8" colorId="64" zoomScale="87" zoomScaleNormal="87" zoomScalePageLayoutView="100" workbookViewId="0">
      <selection pane="topLeft" activeCell="B19" activeCellId="0" sqref="B1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.29"/>
    <col collapsed="false" customWidth="true" hidden="false" outlineLevel="0" max="2" min="2" style="1" width="27.71"/>
    <col collapsed="false" customWidth="true" hidden="false" outlineLevel="0" max="3" min="3" style="1" width="20.42"/>
    <col collapsed="false" customWidth="true" hidden="false" outlineLevel="0" max="4" min="4" style="41" width="8.15"/>
    <col collapsed="false" customWidth="true" hidden="false" outlineLevel="0" max="5" min="5" style="5" width="5.86"/>
    <col collapsed="false" customWidth="true" hidden="false" outlineLevel="0" max="6" min="6" style="4" width="9.29"/>
    <col collapsed="false" customWidth="true" hidden="false" outlineLevel="0" max="7" min="7" style="4" width="9.57"/>
    <col collapsed="false" customWidth="true" hidden="false" outlineLevel="0" max="9" min="8" style="4" width="9.14"/>
    <col collapsed="false" customWidth="true" hidden="false" outlineLevel="0" max="10" min="10" style="4" width="15.57"/>
    <col collapsed="false" customWidth="true" hidden="false" outlineLevel="0" max="11" min="11" style="1" width="9.14"/>
  </cols>
  <sheetData>
    <row r="1" customFormat="false" ht="15" hidden="false" customHeight="false" outlineLevel="0" collapsed="false">
      <c r="I1" s="39" t="n">
        <v>0.1</v>
      </c>
    </row>
    <row r="2" customFormat="false" ht="15" hidden="false" customHeight="false" outlineLevel="0" collapsed="false">
      <c r="A2" s="40" t="s">
        <v>20</v>
      </c>
      <c r="B2" s="28" t="s">
        <v>117</v>
      </c>
      <c r="C2" s="28" t="s">
        <v>118</v>
      </c>
      <c r="D2" s="42" t="s">
        <v>119</v>
      </c>
      <c r="E2" s="30" t="s">
        <v>68</v>
      </c>
      <c r="F2" s="30" t="s">
        <v>120</v>
      </c>
      <c r="G2" s="30" t="s">
        <v>121</v>
      </c>
      <c r="H2" s="31" t="s">
        <v>122</v>
      </c>
      <c r="I2" s="32" t="s">
        <v>123</v>
      </c>
      <c r="J2" s="30" t="s">
        <v>27</v>
      </c>
    </row>
    <row r="3" customFormat="false" ht="15" hidden="false" customHeight="false" outlineLevel="0" collapsed="false">
      <c r="B3" s="1" t="s">
        <v>155</v>
      </c>
      <c r="C3" s="1" t="s">
        <v>71</v>
      </c>
      <c r="D3" s="41" t="n">
        <v>20</v>
      </c>
      <c r="E3" s="5" t="s">
        <v>74</v>
      </c>
      <c r="F3" s="4" t="n">
        <f aca="false">VLOOKUP(C3,'Master Bahan'!$B$4:$G$44,4,0)</f>
        <v>57</v>
      </c>
      <c r="G3" s="4" t="n">
        <f aca="false">F3*D3</f>
        <v>1140</v>
      </c>
      <c r="H3" s="4" t="n">
        <f aca="false">SUM(G3:G16)</f>
        <v>1572.638723</v>
      </c>
      <c r="I3" s="4" t="n">
        <f aca="false">H3*$I$1</f>
        <v>157.2638723</v>
      </c>
      <c r="J3" s="4" t="n">
        <f aca="false">H3+I3</f>
        <v>1729.9025953</v>
      </c>
    </row>
    <row r="4" customFormat="false" ht="15" hidden="false" customHeight="false" outlineLevel="0" collapsed="false">
      <c r="C4" s="1" t="s">
        <v>73</v>
      </c>
      <c r="D4" s="41" t="n">
        <v>1.1</v>
      </c>
      <c r="E4" s="5" t="s">
        <v>74</v>
      </c>
      <c r="F4" s="4" t="n">
        <f aca="false">VLOOKUP(C4,'Master Bahan'!$B$4:$G$44,4,0)</f>
        <v>27</v>
      </c>
      <c r="G4" s="4" t="n">
        <f aca="false">F4*D4</f>
        <v>29.7</v>
      </c>
    </row>
    <row r="5" customFormat="false" ht="15" hidden="false" customHeight="false" outlineLevel="0" collapsed="false">
      <c r="C5" s="1" t="s">
        <v>76</v>
      </c>
      <c r="D5" s="41" t="n">
        <v>1</v>
      </c>
      <c r="E5" s="5" t="s">
        <v>74</v>
      </c>
      <c r="F5" s="4" t="n">
        <f aca="false">VLOOKUP(C5,'Master Bahan'!$B$4:$G$44,4,0)</f>
        <v>20</v>
      </c>
      <c r="G5" s="4" t="n">
        <f aca="false">F5*D5</f>
        <v>20</v>
      </c>
    </row>
    <row r="6" customFormat="false" ht="15" hidden="false" customHeight="false" outlineLevel="0" collapsed="false">
      <c r="C6" s="1" t="s">
        <v>78</v>
      </c>
      <c r="D6" s="41" t="n">
        <v>0.5</v>
      </c>
      <c r="E6" s="5" t="s">
        <v>74</v>
      </c>
      <c r="F6" s="4" t="n">
        <f aca="false">VLOOKUP(C6,'Master Bahan'!$B$4:$G$44,4,0)</f>
        <v>40</v>
      </c>
      <c r="G6" s="4" t="n">
        <f aca="false">F6*D6</f>
        <v>20</v>
      </c>
    </row>
    <row r="7" customFormat="false" ht="15" hidden="false" customHeight="false" outlineLevel="0" collapsed="false">
      <c r="C7" s="1" t="s">
        <v>79</v>
      </c>
      <c r="D7" s="41" t="n">
        <v>0.4</v>
      </c>
      <c r="E7" s="5" t="s">
        <v>74</v>
      </c>
      <c r="F7" s="4" t="n">
        <f aca="false">VLOOKUP(C7,'Master Bahan'!$B$4:$G$44,4,0)</f>
        <v>75</v>
      </c>
      <c r="G7" s="4" t="n">
        <f aca="false">F7*D7</f>
        <v>30</v>
      </c>
    </row>
    <row r="8" customFormat="false" ht="15" hidden="false" customHeight="false" outlineLevel="0" collapsed="false">
      <c r="C8" s="1" t="s">
        <v>80</v>
      </c>
      <c r="D8" s="41" t="n">
        <v>0.1</v>
      </c>
      <c r="E8" s="5" t="s">
        <v>74</v>
      </c>
      <c r="F8" s="4" t="n">
        <f aca="false">VLOOKUP(C8,'Master Bahan'!$B$4:$G$44,4,0)</f>
        <v>60</v>
      </c>
      <c r="G8" s="4" t="n">
        <f aca="false">F8*D8</f>
        <v>6</v>
      </c>
    </row>
    <row r="9" customFormat="false" ht="15" hidden="false" customHeight="false" outlineLevel="0" collapsed="false">
      <c r="C9" s="1" t="s">
        <v>82</v>
      </c>
      <c r="D9" s="41" t="n">
        <v>0.6</v>
      </c>
      <c r="E9" s="5" t="s">
        <v>74</v>
      </c>
      <c r="F9" s="4" t="n">
        <f aca="false">VLOOKUP(C9,'Master Bahan'!$B$4:$G$44,4,0)</f>
        <v>53</v>
      </c>
      <c r="G9" s="4" t="n">
        <f aca="false">F9*D9</f>
        <v>31.8</v>
      </c>
    </row>
    <row r="10" customFormat="false" ht="15" hidden="false" customHeight="false" outlineLevel="0" collapsed="false">
      <c r="C10" s="1" t="s">
        <v>83</v>
      </c>
      <c r="D10" s="41" t="n">
        <v>0.4</v>
      </c>
      <c r="E10" s="5" t="s">
        <v>74</v>
      </c>
      <c r="F10" s="4" t="n">
        <f aca="false">VLOOKUP(C10,'Master Bahan'!$B$4:$G$44,4,0)</f>
        <v>105</v>
      </c>
      <c r="G10" s="4" t="n">
        <f aca="false">F10*D10</f>
        <v>42</v>
      </c>
    </row>
    <row r="11" customFormat="false" ht="15" hidden="false" customHeight="false" outlineLevel="0" collapsed="false">
      <c r="C11" s="1" t="s">
        <v>84</v>
      </c>
      <c r="D11" s="41" t="n">
        <v>0.3</v>
      </c>
      <c r="E11" s="5" t="s">
        <v>74</v>
      </c>
      <c r="F11" s="4" t="n">
        <f aca="false">VLOOKUP(C11,'Master Bahan'!$B$4:$G$44,4,0)</f>
        <v>50</v>
      </c>
      <c r="G11" s="4" t="n">
        <f aca="false">F11*D11</f>
        <v>15</v>
      </c>
    </row>
    <row r="12" customFormat="false" ht="15" hidden="false" customHeight="false" outlineLevel="0" collapsed="false">
      <c r="C12" s="1" t="s">
        <v>85</v>
      </c>
      <c r="D12" s="41" t="n">
        <v>0.14</v>
      </c>
      <c r="E12" s="5" t="s">
        <v>74</v>
      </c>
      <c r="F12" s="4" t="n">
        <f aca="false">VLOOKUP(C12,'Master Bahan'!$B$4:$G$44,4,0)</f>
        <v>14</v>
      </c>
      <c r="G12" s="4" t="n">
        <f aca="false">F12*D12</f>
        <v>1.96</v>
      </c>
    </row>
    <row r="13" customFormat="false" ht="15" hidden="false" customHeight="false" outlineLevel="0" collapsed="false">
      <c r="C13" s="1" t="s">
        <v>86</v>
      </c>
      <c r="D13" s="41" t="n">
        <v>0.5</v>
      </c>
      <c r="E13" s="5" t="s">
        <v>74</v>
      </c>
      <c r="F13" s="4" t="n">
        <f aca="false">VLOOKUP(C13,'Master Bahan'!$B$4:$G$44,4,0)</f>
        <v>18</v>
      </c>
      <c r="G13" s="4" t="n">
        <f aca="false">F13*D13</f>
        <v>9</v>
      </c>
    </row>
    <row r="14" customFormat="false" ht="15" hidden="false" customHeight="false" outlineLevel="0" collapsed="false">
      <c r="C14" s="1" t="s">
        <v>107</v>
      </c>
      <c r="D14" s="41" t="n">
        <v>1</v>
      </c>
      <c r="E14" s="5" t="s">
        <v>108</v>
      </c>
      <c r="F14" s="4" t="n">
        <f aca="false">VLOOKUP(C14,'Master Bahan'!$B$4:$G$44,4,0)</f>
        <v>132.978723</v>
      </c>
      <c r="G14" s="4" t="n">
        <f aca="false">F14*D14</f>
        <v>132.978723</v>
      </c>
    </row>
    <row r="15" customFormat="false" ht="15" hidden="false" customHeight="false" outlineLevel="0" collapsed="false">
      <c r="C15" s="1" t="s">
        <v>88</v>
      </c>
      <c r="D15" s="41" t="n">
        <v>3.6</v>
      </c>
      <c r="E15" s="5" t="s">
        <v>74</v>
      </c>
      <c r="F15" s="4" t="n">
        <f aca="false">VLOOKUP(C15,'Master Bahan'!$B$4:$G$44,4,0)</f>
        <v>22</v>
      </c>
      <c r="G15" s="4" t="n">
        <f aca="false">F15*D15</f>
        <v>79.2</v>
      </c>
    </row>
    <row r="16" customFormat="false" ht="15" hidden="false" customHeight="false" outlineLevel="0" collapsed="false">
      <c r="C16" s="1" t="s">
        <v>115</v>
      </c>
      <c r="D16" s="41" t="n">
        <v>0.5</v>
      </c>
      <c r="E16" s="5" t="s">
        <v>74</v>
      </c>
      <c r="F16" s="4" t="n">
        <f aca="false">VLOOKUP(C16,'Master Bahan'!$B$4:$G$44,4,0)</f>
        <v>30</v>
      </c>
      <c r="G16" s="4" t="n">
        <f aca="false">F16*D16</f>
        <v>15</v>
      </c>
    </row>
    <row r="18" customFormat="false" ht="15" hidden="false" customHeight="false" outlineLevel="0" collapsed="false">
      <c r="A18" s="40" t="s">
        <v>20</v>
      </c>
      <c r="B18" s="28" t="s">
        <v>117</v>
      </c>
      <c r="C18" s="28" t="s">
        <v>118</v>
      </c>
      <c r="D18" s="42" t="s">
        <v>119</v>
      </c>
      <c r="E18" s="30" t="s">
        <v>68</v>
      </c>
      <c r="F18" s="30" t="s">
        <v>120</v>
      </c>
      <c r="G18" s="30" t="s">
        <v>121</v>
      </c>
      <c r="H18" s="31" t="s">
        <v>122</v>
      </c>
      <c r="I18" s="32" t="s">
        <v>123</v>
      </c>
      <c r="J18" s="30" t="s">
        <v>27</v>
      </c>
    </row>
    <row r="19" customFormat="false" ht="15" hidden="false" customHeight="false" outlineLevel="0" collapsed="false">
      <c r="B19" s="1" t="s">
        <v>36</v>
      </c>
      <c r="C19" s="1" t="s">
        <v>71</v>
      </c>
      <c r="D19" s="41" t="n">
        <v>20</v>
      </c>
      <c r="E19" s="5" t="s">
        <v>74</v>
      </c>
      <c r="F19" s="4" t="n">
        <f aca="false">VLOOKUP(C19,'Master Bahan'!$B$4:$G$44,4,0)</f>
        <v>57</v>
      </c>
      <c r="G19" s="4" t="n">
        <f aca="false">F19*D19</f>
        <v>1140</v>
      </c>
      <c r="H19" s="4" t="n">
        <f aca="false">SUM(G19:G32)</f>
        <v>1600.4958658571</v>
      </c>
      <c r="I19" s="4" t="n">
        <f aca="false">H19*$I$1</f>
        <v>160.04958658571</v>
      </c>
      <c r="J19" s="4" t="n">
        <f aca="false">H19+I19</f>
        <v>1760.54545244281</v>
      </c>
    </row>
    <row r="20" customFormat="false" ht="15" hidden="false" customHeight="false" outlineLevel="0" collapsed="false">
      <c r="C20" s="1" t="s">
        <v>73</v>
      </c>
      <c r="D20" s="41" t="n">
        <v>1.1</v>
      </c>
      <c r="E20" s="5" t="s">
        <v>74</v>
      </c>
      <c r="F20" s="4" t="n">
        <f aca="false">VLOOKUP(C20,'Master Bahan'!$B$4:$G$44,4,0)</f>
        <v>27</v>
      </c>
      <c r="G20" s="4" t="n">
        <f aca="false">F20*D20</f>
        <v>29.7</v>
      </c>
    </row>
    <row r="21" customFormat="false" ht="15" hidden="false" customHeight="false" outlineLevel="0" collapsed="false">
      <c r="C21" s="1" t="s">
        <v>76</v>
      </c>
      <c r="D21" s="41" t="n">
        <v>1</v>
      </c>
      <c r="E21" s="5" t="s">
        <v>74</v>
      </c>
      <c r="F21" s="4" t="n">
        <f aca="false">VLOOKUP(C21,'Master Bahan'!$B$4:$G$44,4,0)</f>
        <v>20</v>
      </c>
      <c r="G21" s="4" t="n">
        <f aca="false">F21*D21</f>
        <v>20</v>
      </c>
    </row>
    <row r="22" customFormat="false" ht="15" hidden="false" customHeight="false" outlineLevel="0" collapsed="false">
      <c r="C22" s="1" t="s">
        <v>78</v>
      </c>
      <c r="D22" s="41" t="n">
        <v>0.5</v>
      </c>
      <c r="E22" s="5" t="s">
        <v>74</v>
      </c>
      <c r="F22" s="4" t="n">
        <f aca="false">VLOOKUP(C22,'Master Bahan'!$B$4:$G$44,4,0)</f>
        <v>40</v>
      </c>
      <c r="G22" s="4" t="n">
        <f aca="false">F22*D22</f>
        <v>20</v>
      </c>
    </row>
    <row r="23" customFormat="false" ht="15" hidden="false" customHeight="false" outlineLevel="0" collapsed="false">
      <c r="C23" s="1" t="s">
        <v>79</v>
      </c>
      <c r="D23" s="41" t="n">
        <v>0.4</v>
      </c>
      <c r="E23" s="5" t="s">
        <v>74</v>
      </c>
      <c r="F23" s="4" t="n">
        <f aca="false">VLOOKUP(C23,'Master Bahan'!$B$4:$G$44,4,0)</f>
        <v>75</v>
      </c>
      <c r="G23" s="4" t="n">
        <f aca="false">F23*D23</f>
        <v>30</v>
      </c>
    </row>
    <row r="24" customFormat="false" ht="15" hidden="false" customHeight="false" outlineLevel="0" collapsed="false">
      <c r="C24" s="1" t="s">
        <v>80</v>
      </c>
      <c r="D24" s="41" t="n">
        <v>0.1</v>
      </c>
      <c r="E24" s="5" t="s">
        <v>74</v>
      </c>
      <c r="F24" s="4" t="n">
        <f aca="false">VLOOKUP(C24,'Master Bahan'!$B$4:$G$44,4,0)</f>
        <v>60</v>
      </c>
      <c r="G24" s="4" t="n">
        <f aca="false">F24*D24</f>
        <v>6</v>
      </c>
    </row>
    <row r="25" customFormat="false" ht="15" hidden="false" customHeight="false" outlineLevel="0" collapsed="false">
      <c r="C25" s="1" t="s">
        <v>82</v>
      </c>
      <c r="D25" s="41" t="n">
        <v>0.6</v>
      </c>
      <c r="E25" s="5" t="s">
        <v>74</v>
      </c>
      <c r="F25" s="4" t="n">
        <f aca="false">VLOOKUP(C25,'Master Bahan'!$B$4:$G$44,4,0)</f>
        <v>53</v>
      </c>
      <c r="G25" s="4" t="n">
        <f aca="false">F25*D25</f>
        <v>31.8</v>
      </c>
    </row>
    <row r="26" customFormat="false" ht="15" hidden="false" customHeight="false" outlineLevel="0" collapsed="false">
      <c r="C26" s="1" t="s">
        <v>83</v>
      </c>
      <c r="D26" s="41" t="n">
        <v>0.4</v>
      </c>
      <c r="E26" s="5" t="s">
        <v>74</v>
      </c>
      <c r="F26" s="4" t="n">
        <f aca="false">VLOOKUP(C26,'Master Bahan'!$B$4:$G$44,4,0)</f>
        <v>105</v>
      </c>
      <c r="G26" s="4" t="n">
        <f aca="false">F26*D26</f>
        <v>42</v>
      </c>
    </row>
    <row r="27" customFormat="false" ht="15" hidden="false" customHeight="false" outlineLevel="0" collapsed="false">
      <c r="C27" s="1" t="s">
        <v>84</v>
      </c>
      <c r="D27" s="41" t="n">
        <v>0.3</v>
      </c>
      <c r="E27" s="5" t="s">
        <v>74</v>
      </c>
      <c r="F27" s="4" t="n">
        <f aca="false">VLOOKUP(C27,'Master Bahan'!$B$4:$G$44,4,0)</f>
        <v>50</v>
      </c>
      <c r="G27" s="4" t="n">
        <f aca="false">F27*D27</f>
        <v>15</v>
      </c>
    </row>
    <row r="28" customFormat="false" ht="15" hidden="false" customHeight="false" outlineLevel="0" collapsed="false">
      <c r="C28" s="1" t="s">
        <v>85</v>
      </c>
      <c r="D28" s="41" t="n">
        <v>0.14</v>
      </c>
      <c r="E28" s="5" t="s">
        <v>74</v>
      </c>
      <c r="F28" s="4" t="n">
        <f aca="false">VLOOKUP(C28,'Master Bahan'!$B$4:$G$44,4,0)</f>
        <v>14</v>
      </c>
      <c r="G28" s="4" t="n">
        <f aca="false">F28*D28</f>
        <v>1.96</v>
      </c>
    </row>
    <row r="29" customFormat="false" ht="15" hidden="false" customHeight="false" outlineLevel="0" collapsed="false">
      <c r="C29" s="1" t="s">
        <v>86</v>
      </c>
      <c r="D29" s="41" t="n">
        <v>0.5</v>
      </c>
      <c r="E29" s="5" t="s">
        <v>74</v>
      </c>
      <c r="F29" s="4" t="n">
        <f aca="false">VLOOKUP(C29,'Master Bahan'!$B$4:$G$44,4,0)</f>
        <v>18</v>
      </c>
      <c r="G29" s="4" t="n">
        <f aca="false">F29*D29</f>
        <v>9</v>
      </c>
    </row>
    <row r="30" customFormat="false" ht="15" hidden="false" customHeight="false" outlineLevel="0" collapsed="false">
      <c r="C30" s="1" t="s">
        <v>107</v>
      </c>
      <c r="D30" s="41" t="n">
        <v>1</v>
      </c>
      <c r="E30" s="5" t="s">
        <v>108</v>
      </c>
      <c r="F30" s="4" t="n">
        <f aca="false">VLOOKUP(C30,'Master Bahan'!$B$4:$G$44,4,0)</f>
        <v>132.978723</v>
      </c>
      <c r="G30" s="4" t="n">
        <f aca="false">F30*D30</f>
        <v>132.978723</v>
      </c>
    </row>
    <row r="31" customFormat="false" ht="15" hidden="false" customHeight="false" outlineLevel="0" collapsed="false">
      <c r="C31" s="1" t="s">
        <v>88</v>
      </c>
      <c r="D31" s="41" t="n">
        <v>3.6</v>
      </c>
      <c r="E31" s="5" t="s">
        <v>74</v>
      </c>
      <c r="F31" s="4" t="n">
        <f aca="false">VLOOKUP(C31,'Master Bahan'!$B$4:$G$44,4,0)</f>
        <v>22</v>
      </c>
      <c r="G31" s="4" t="n">
        <f aca="false">F31*D31</f>
        <v>79.2</v>
      </c>
    </row>
    <row r="32" customFormat="false" ht="15" hidden="false" customHeight="false" outlineLevel="0" collapsed="false">
      <c r="C32" s="1" t="s">
        <v>116</v>
      </c>
      <c r="D32" s="41" t="n">
        <v>1</v>
      </c>
      <c r="E32" s="5" t="s">
        <v>74</v>
      </c>
      <c r="F32" s="4" t="n">
        <f aca="false">VLOOKUP(C32,'Master Bahan'!$B$4:$G$44,4,0)</f>
        <v>42.8571428571</v>
      </c>
      <c r="G32" s="4" t="n">
        <f aca="false">F32*D32</f>
        <v>42.8571428571</v>
      </c>
    </row>
    <row r="34" customFormat="false" ht="15" hidden="false" customHeight="false" outlineLevel="0" collapsed="false">
      <c r="A34" s="40" t="s">
        <v>20</v>
      </c>
      <c r="B34" s="28" t="s">
        <v>117</v>
      </c>
      <c r="C34" s="28" t="s">
        <v>118</v>
      </c>
      <c r="D34" s="42" t="s">
        <v>119</v>
      </c>
      <c r="E34" s="30" t="s">
        <v>68</v>
      </c>
      <c r="F34" s="30" t="s">
        <v>120</v>
      </c>
      <c r="G34" s="30" t="s">
        <v>121</v>
      </c>
      <c r="H34" s="31" t="s">
        <v>122</v>
      </c>
      <c r="I34" s="32" t="s">
        <v>123</v>
      </c>
      <c r="J34" s="30" t="s">
        <v>27</v>
      </c>
    </row>
    <row r="35" customFormat="false" ht="15" hidden="false" customHeight="false" outlineLevel="0" collapsed="false">
      <c r="B35" s="1" t="s">
        <v>45</v>
      </c>
      <c r="C35" s="1" t="s">
        <v>71</v>
      </c>
      <c r="D35" s="41" t="n">
        <v>20</v>
      </c>
      <c r="E35" s="5" t="s">
        <v>74</v>
      </c>
      <c r="F35" s="4" t="n">
        <f aca="false">VLOOKUP(C35,'Master Bahan'!$B$4:$G$44,4,0)</f>
        <v>57</v>
      </c>
      <c r="G35" s="4" t="n">
        <f aca="false">F35*D35</f>
        <v>1140</v>
      </c>
      <c r="H35" s="4" t="n">
        <f aca="false">SUM(G35:G48)</f>
        <v>1857.638723</v>
      </c>
      <c r="I35" s="4" t="n">
        <f aca="false">H35*$I$1</f>
        <v>185.7638723</v>
      </c>
      <c r="J35" s="4" t="n">
        <f aca="false">H35+I35</f>
        <v>2043.4025953</v>
      </c>
    </row>
    <row r="36" customFormat="false" ht="15" hidden="false" customHeight="false" outlineLevel="0" collapsed="false">
      <c r="C36" s="1" t="s">
        <v>73</v>
      </c>
      <c r="D36" s="41" t="n">
        <v>1.1</v>
      </c>
      <c r="E36" s="5" t="s">
        <v>74</v>
      </c>
      <c r="F36" s="4" t="n">
        <f aca="false">VLOOKUP(C36,'Master Bahan'!$B$4:$G$44,4,0)</f>
        <v>27</v>
      </c>
      <c r="G36" s="4" t="n">
        <f aca="false">F36*D36</f>
        <v>29.7</v>
      </c>
    </row>
    <row r="37" customFormat="false" ht="15" hidden="false" customHeight="false" outlineLevel="0" collapsed="false">
      <c r="C37" s="1" t="s">
        <v>76</v>
      </c>
      <c r="D37" s="41" t="n">
        <v>1</v>
      </c>
      <c r="E37" s="5" t="s">
        <v>74</v>
      </c>
      <c r="F37" s="4" t="n">
        <f aca="false">VLOOKUP(C37,'Master Bahan'!$B$4:$G$44,4,0)</f>
        <v>20</v>
      </c>
      <c r="G37" s="4" t="n">
        <f aca="false">F37*D37</f>
        <v>20</v>
      </c>
    </row>
    <row r="38" customFormat="false" ht="15" hidden="false" customHeight="false" outlineLevel="0" collapsed="false">
      <c r="C38" s="1" t="s">
        <v>78</v>
      </c>
      <c r="D38" s="41" t="n">
        <v>0.5</v>
      </c>
      <c r="E38" s="5" t="s">
        <v>74</v>
      </c>
      <c r="F38" s="4" t="n">
        <f aca="false">VLOOKUP(C38,'Master Bahan'!$B$4:$G$44,4,0)</f>
        <v>40</v>
      </c>
      <c r="G38" s="4" t="n">
        <f aca="false">F38*D38</f>
        <v>20</v>
      </c>
    </row>
    <row r="39" customFormat="false" ht="15" hidden="false" customHeight="false" outlineLevel="0" collapsed="false">
      <c r="C39" s="1" t="s">
        <v>79</v>
      </c>
      <c r="D39" s="41" t="n">
        <v>0.4</v>
      </c>
      <c r="E39" s="5" t="s">
        <v>74</v>
      </c>
      <c r="F39" s="4" t="n">
        <f aca="false">VLOOKUP(C39,'Master Bahan'!$B$4:$G$44,4,0)</f>
        <v>75</v>
      </c>
      <c r="G39" s="4" t="n">
        <f aca="false">F39*D39</f>
        <v>30</v>
      </c>
    </row>
    <row r="40" customFormat="false" ht="15" hidden="false" customHeight="false" outlineLevel="0" collapsed="false">
      <c r="C40" s="1" t="s">
        <v>80</v>
      </c>
      <c r="D40" s="41" t="n">
        <v>0.1</v>
      </c>
      <c r="E40" s="5" t="s">
        <v>74</v>
      </c>
      <c r="F40" s="4" t="n">
        <f aca="false">VLOOKUP(C40,'Master Bahan'!$B$4:$G$44,4,0)</f>
        <v>60</v>
      </c>
      <c r="G40" s="4" t="n">
        <f aca="false">F40*D40</f>
        <v>6</v>
      </c>
    </row>
    <row r="41" customFormat="false" ht="15" hidden="false" customHeight="false" outlineLevel="0" collapsed="false">
      <c r="C41" s="1" t="s">
        <v>82</v>
      </c>
      <c r="D41" s="41" t="n">
        <v>0.6</v>
      </c>
      <c r="E41" s="5" t="s">
        <v>74</v>
      </c>
      <c r="F41" s="4" t="n">
        <f aca="false">VLOOKUP(C41,'Master Bahan'!$B$4:$G$44,4,0)</f>
        <v>53</v>
      </c>
      <c r="G41" s="4" t="n">
        <f aca="false">F41*D41</f>
        <v>31.8</v>
      </c>
    </row>
    <row r="42" customFormat="false" ht="15" hidden="false" customHeight="false" outlineLevel="0" collapsed="false">
      <c r="C42" s="1" t="s">
        <v>83</v>
      </c>
      <c r="D42" s="41" t="n">
        <v>0.4</v>
      </c>
      <c r="E42" s="5" t="s">
        <v>74</v>
      </c>
      <c r="F42" s="4" t="n">
        <f aca="false">VLOOKUP(C42,'Master Bahan'!$B$4:$G$44,4,0)</f>
        <v>105</v>
      </c>
      <c r="G42" s="4" t="n">
        <f aca="false">F42*D42</f>
        <v>42</v>
      </c>
    </row>
    <row r="43" customFormat="false" ht="15" hidden="false" customHeight="false" outlineLevel="0" collapsed="false">
      <c r="C43" s="1" t="s">
        <v>84</v>
      </c>
      <c r="D43" s="41" t="n">
        <v>0.3</v>
      </c>
      <c r="E43" s="5" t="s">
        <v>74</v>
      </c>
      <c r="F43" s="4" t="n">
        <f aca="false">VLOOKUP(C43,'Master Bahan'!$B$4:$G$44,4,0)</f>
        <v>50</v>
      </c>
      <c r="G43" s="4" t="n">
        <f aca="false">F43*D43</f>
        <v>15</v>
      </c>
    </row>
    <row r="44" customFormat="false" ht="15" hidden="false" customHeight="false" outlineLevel="0" collapsed="false">
      <c r="C44" s="1" t="s">
        <v>85</v>
      </c>
      <c r="D44" s="41" t="n">
        <v>0.14</v>
      </c>
      <c r="E44" s="5" t="s">
        <v>74</v>
      </c>
      <c r="F44" s="4" t="n">
        <f aca="false">VLOOKUP(C44,'Master Bahan'!$B$4:$G$44,4,0)</f>
        <v>14</v>
      </c>
      <c r="G44" s="4" t="n">
        <f aca="false">F44*D44</f>
        <v>1.96</v>
      </c>
    </row>
    <row r="45" customFormat="false" ht="15" hidden="false" customHeight="false" outlineLevel="0" collapsed="false">
      <c r="C45" s="1" t="s">
        <v>86</v>
      </c>
      <c r="D45" s="41" t="n">
        <v>0.5</v>
      </c>
      <c r="E45" s="5" t="s">
        <v>74</v>
      </c>
      <c r="F45" s="4" t="n">
        <f aca="false">VLOOKUP(C45,'Master Bahan'!$B$4:$G$44,4,0)</f>
        <v>18</v>
      </c>
      <c r="G45" s="4" t="n">
        <f aca="false">F45*D45</f>
        <v>9</v>
      </c>
    </row>
    <row r="46" customFormat="false" ht="15" hidden="false" customHeight="false" outlineLevel="0" collapsed="false">
      <c r="C46" s="1" t="s">
        <v>107</v>
      </c>
      <c r="D46" s="41" t="n">
        <v>1</v>
      </c>
      <c r="E46" s="5" t="s">
        <v>108</v>
      </c>
      <c r="F46" s="4" t="n">
        <f aca="false">VLOOKUP(C46,'Master Bahan'!$B$4:$G$44,4,0)</f>
        <v>132.978723</v>
      </c>
      <c r="G46" s="4" t="n">
        <f aca="false">F46*D46</f>
        <v>132.978723</v>
      </c>
    </row>
    <row r="47" customFormat="false" ht="15" hidden="false" customHeight="false" outlineLevel="0" collapsed="false">
      <c r="C47" s="1" t="s">
        <v>88</v>
      </c>
      <c r="D47" s="41" t="n">
        <v>3.6</v>
      </c>
      <c r="E47" s="5" t="s">
        <v>74</v>
      </c>
      <c r="F47" s="4" t="n">
        <f aca="false">VLOOKUP(C47,'Master Bahan'!$B$4:$G$44,4,0)</f>
        <v>22</v>
      </c>
      <c r="G47" s="4" t="n">
        <f aca="false">F47*D47</f>
        <v>79.2</v>
      </c>
    </row>
    <row r="48" customFormat="false" ht="15" hidden="false" customHeight="false" outlineLevel="0" collapsed="false">
      <c r="C48" s="1" t="s">
        <v>102</v>
      </c>
      <c r="D48" s="41" t="n">
        <v>3</v>
      </c>
      <c r="E48" s="5" t="s">
        <v>74</v>
      </c>
      <c r="F48" s="4" t="n">
        <f aca="false">VLOOKUP(C48,'Master Bahan'!$B$4:$G$44,4,0)</f>
        <v>100</v>
      </c>
      <c r="G48" s="4" t="n">
        <f aca="false">F48*D48</f>
        <v>300</v>
      </c>
    </row>
    <row r="50" customFormat="false" ht="15" hidden="false" customHeight="false" outlineLevel="0" collapsed="false">
      <c r="A50" s="40" t="s">
        <v>20</v>
      </c>
      <c r="B50" s="28" t="s">
        <v>117</v>
      </c>
      <c r="C50" s="28" t="s">
        <v>118</v>
      </c>
      <c r="D50" s="42" t="s">
        <v>119</v>
      </c>
      <c r="E50" s="30" t="s">
        <v>68</v>
      </c>
      <c r="F50" s="30" t="s">
        <v>120</v>
      </c>
      <c r="G50" s="30" t="s">
        <v>121</v>
      </c>
      <c r="H50" s="31" t="s">
        <v>122</v>
      </c>
      <c r="I50" s="32" t="s">
        <v>123</v>
      </c>
      <c r="J50" s="30" t="s">
        <v>27</v>
      </c>
    </row>
    <row r="51" customFormat="false" ht="15" hidden="false" customHeight="false" outlineLevel="0" collapsed="false">
      <c r="B51" s="1" t="s">
        <v>156</v>
      </c>
      <c r="C51" s="1" t="s">
        <v>71</v>
      </c>
      <c r="D51" s="41" t="n">
        <v>20</v>
      </c>
      <c r="E51" s="5" t="s">
        <v>74</v>
      </c>
      <c r="F51" s="4" t="n">
        <f aca="false">VLOOKUP(C51,'Master Bahan'!$B$4:$G$44,4,0)</f>
        <v>57</v>
      </c>
      <c r="G51" s="4" t="n">
        <f aca="false">F51*D51</f>
        <v>1140</v>
      </c>
      <c r="H51" s="4" t="n">
        <f aca="false">SUM(G51:G64)</f>
        <v>1557.638723</v>
      </c>
      <c r="I51" s="4" t="n">
        <f aca="false">H51*$I$1</f>
        <v>155.7638723</v>
      </c>
      <c r="J51" s="4" t="n">
        <f aca="false">H51+I51</f>
        <v>1713.4025953</v>
      </c>
    </row>
    <row r="52" customFormat="false" ht="15" hidden="false" customHeight="false" outlineLevel="0" collapsed="false">
      <c r="C52" s="1" t="s">
        <v>73</v>
      </c>
      <c r="D52" s="41" t="n">
        <v>1.1</v>
      </c>
      <c r="E52" s="5" t="s">
        <v>74</v>
      </c>
      <c r="F52" s="4" t="n">
        <f aca="false">VLOOKUP(C52,'Master Bahan'!$B$4:$G$44,4,0)</f>
        <v>27</v>
      </c>
      <c r="G52" s="4" t="n">
        <f aca="false">F52*D52</f>
        <v>29.7</v>
      </c>
    </row>
    <row r="53" customFormat="false" ht="15" hidden="false" customHeight="false" outlineLevel="0" collapsed="false">
      <c r="C53" s="1" t="s">
        <v>76</v>
      </c>
      <c r="D53" s="41" t="n">
        <v>1</v>
      </c>
      <c r="E53" s="5" t="s">
        <v>74</v>
      </c>
      <c r="F53" s="4" t="n">
        <f aca="false">VLOOKUP(C53,'Master Bahan'!$B$4:$G$44,4,0)</f>
        <v>20</v>
      </c>
      <c r="G53" s="4" t="n">
        <f aca="false">F53*D53</f>
        <v>20</v>
      </c>
    </row>
    <row r="54" customFormat="false" ht="15" hidden="false" customHeight="false" outlineLevel="0" collapsed="false">
      <c r="C54" s="1" t="s">
        <v>78</v>
      </c>
      <c r="D54" s="41" t="n">
        <v>0.5</v>
      </c>
      <c r="E54" s="5" t="s">
        <v>74</v>
      </c>
      <c r="F54" s="4" t="n">
        <f aca="false">VLOOKUP(C54,'Master Bahan'!$B$4:$G$44,4,0)</f>
        <v>40</v>
      </c>
      <c r="G54" s="4" t="n">
        <f aca="false">F54*D54</f>
        <v>20</v>
      </c>
    </row>
    <row r="55" customFormat="false" ht="15" hidden="false" customHeight="false" outlineLevel="0" collapsed="false">
      <c r="C55" s="1" t="s">
        <v>79</v>
      </c>
      <c r="D55" s="41" t="n">
        <v>0.4</v>
      </c>
      <c r="E55" s="5" t="s">
        <v>74</v>
      </c>
      <c r="F55" s="4" t="n">
        <f aca="false">VLOOKUP(C55,'Master Bahan'!$B$4:$G$44,4,0)</f>
        <v>75</v>
      </c>
      <c r="G55" s="4" t="n">
        <f aca="false">F55*D55</f>
        <v>30</v>
      </c>
    </row>
    <row r="56" customFormat="false" ht="15" hidden="false" customHeight="false" outlineLevel="0" collapsed="false">
      <c r="C56" s="1" t="s">
        <v>80</v>
      </c>
      <c r="D56" s="41" t="n">
        <v>0.1</v>
      </c>
      <c r="E56" s="5" t="s">
        <v>74</v>
      </c>
      <c r="F56" s="4" t="n">
        <f aca="false">VLOOKUP(C56,'Master Bahan'!$B$4:$G$44,4,0)</f>
        <v>60</v>
      </c>
      <c r="G56" s="4" t="n">
        <f aca="false">F56*D56</f>
        <v>6</v>
      </c>
    </row>
    <row r="57" customFormat="false" ht="15" hidden="false" customHeight="false" outlineLevel="0" collapsed="false">
      <c r="C57" s="1" t="s">
        <v>82</v>
      </c>
      <c r="D57" s="41" t="n">
        <v>0.6</v>
      </c>
      <c r="E57" s="5" t="s">
        <v>74</v>
      </c>
      <c r="F57" s="4" t="n">
        <f aca="false">VLOOKUP(C57,'Master Bahan'!$B$4:$G$44,4,0)</f>
        <v>53</v>
      </c>
      <c r="G57" s="4" t="n">
        <f aca="false">F57*D57</f>
        <v>31.8</v>
      </c>
    </row>
    <row r="58" customFormat="false" ht="15" hidden="false" customHeight="false" outlineLevel="0" collapsed="false">
      <c r="C58" s="1" t="s">
        <v>83</v>
      </c>
      <c r="D58" s="41" t="n">
        <v>0.4</v>
      </c>
      <c r="E58" s="5" t="s">
        <v>74</v>
      </c>
      <c r="F58" s="4" t="n">
        <f aca="false">VLOOKUP(C58,'Master Bahan'!$B$4:$G$44,4,0)</f>
        <v>105</v>
      </c>
      <c r="G58" s="4" t="n">
        <f aca="false">F58*D58</f>
        <v>42</v>
      </c>
    </row>
    <row r="59" customFormat="false" ht="15" hidden="false" customHeight="false" outlineLevel="0" collapsed="false">
      <c r="C59" s="1" t="s">
        <v>84</v>
      </c>
      <c r="D59" s="41" t="n">
        <v>0.3</v>
      </c>
      <c r="E59" s="5" t="s">
        <v>74</v>
      </c>
      <c r="F59" s="4" t="n">
        <f aca="false">VLOOKUP(C59,'Master Bahan'!$B$4:$G$44,4,0)</f>
        <v>50</v>
      </c>
      <c r="G59" s="4" t="n">
        <f aca="false">F59*D59</f>
        <v>15</v>
      </c>
    </row>
    <row r="60" customFormat="false" ht="15" hidden="false" customHeight="false" outlineLevel="0" collapsed="false">
      <c r="C60" s="1" t="s">
        <v>85</v>
      </c>
      <c r="D60" s="41" t="n">
        <v>0.14</v>
      </c>
      <c r="E60" s="5" t="s">
        <v>74</v>
      </c>
      <c r="F60" s="4" t="n">
        <f aca="false">VLOOKUP(C60,'Master Bahan'!$B$4:$G$44,4,0)</f>
        <v>14</v>
      </c>
      <c r="G60" s="4" t="n">
        <f aca="false">F60*D60</f>
        <v>1.96</v>
      </c>
    </row>
    <row r="61" customFormat="false" ht="15" hidden="false" customHeight="false" outlineLevel="0" collapsed="false">
      <c r="C61" s="1" t="s">
        <v>86</v>
      </c>
      <c r="D61" s="41" t="n">
        <v>0.5</v>
      </c>
      <c r="E61" s="5" t="s">
        <v>74</v>
      </c>
      <c r="F61" s="4" t="n">
        <f aca="false">VLOOKUP(C61,'Master Bahan'!$B$4:$G$44,4,0)</f>
        <v>18</v>
      </c>
      <c r="G61" s="4" t="n">
        <f aca="false">F61*D61</f>
        <v>9</v>
      </c>
    </row>
    <row r="62" customFormat="false" ht="15" hidden="false" customHeight="false" outlineLevel="0" collapsed="false">
      <c r="C62" s="1" t="s">
        <v>107</v>
      </c>
      <c r="D62" s="41" t="n">
        <v>1</v>
      </c>
      <c r="E62" s="5" t="s">
        <v>108</v>
      </c>
      <c r="F62" s="4" t="n">
        <f aca="false">VLOOKUP(C62,'Master Bahan'!$B$4:$G$44,4,0)</f>
        <v>132.978723</v>
      </c>
      <c r="G62" s="4" t="n">
        <f aca="false">F62*D62</f>
        <v>132.978723</v>
      </c>
    </row>
    <row r="63" customFormat="false" ht="15" hidden="false" customHeight="false" outlineLevel="0" collapsed="false">
      <c r="C63" s="1" t="s">
        <v>88</v>
      </c>
      <c r="D63" s="41" t="n">
        <v>3.6</v>
      </c>
      <c r="E63" s="5" t="s">
        <v>74</v>
      </c>
      <c r="F63" s="4" t="n">
        <f aca="false">VLOOKUP(C63,'Master Bahan'!$B$4:$G$44,4,0)</f>
        <v>22</v>
      </c>
      <c r="G63" s="4" t="n">
        <f aca="false">F63*D63</f>
        <v>79.2</v>
      </c>
    </row>
    <row r="64" customFormat="false" ht="15" hidden="false" customHeight="false" outlineLevel="0" collapsed="false">
      <c r="C64" s="1" t="s">
        <v>154</v>
      </c>
      <c r="E64" s="5" t="s">
        <v>74</v>
      </c>
      <c r="G64" s="4" t="n">
        <f aca="false">F64*D64</f>
        <v>0</v>
      </c>
    </row>
    <row r="66" customFormat="false" ht="15" hidden="false" customHeight="false" outlineLevel="0" collapsed="false">
      <c r="A66" s="40" t="s">
        <v>20</v>
      </c>
      <c r="B66" s="28" t="s">
        <v>117</v>
      </c>
      <c r="C66" s="28" t="s">
        <v>118</v>
      </c>
      <c r="D66" s="42" t="s">
        <v>119</v>
      </c>
      <c r="E66" s="30" t="s">
        <v>68</v>
      </c>
      <c r="F66" s="30" t="s">
        <v>120</v>
      </c>
      <c r="G66" s="30" t="s">
        <v>121</v>
      </c>
      <c r="H66" s="31" t="s">
        <v>122</v>
      </c>
      <c r="I66" s="32" t="s">
        <v>123</v>
      </c>
      <c r="J66" s="30" t="s">
        <v>27</v>
      </c>
    </row>
    <row r="67" customFormat="false" ht="15" hidden="false" customHeight="false" outlineLevel="0" collapsed="false">
      <c r="B67" s="1" t="s">
        <v>157</v>
      </c>
      <c r="C67" s="1" t="s">
        <v>71</v>
      </c>
      <c r="D67" s="41" t="n">
        <v>20</v>
      </c>
      <c r="E67" s="5" t="s">
        <v>74</v>
      </c>
      <c r="F67" s="4" t="n">
        <f aca="false">VLOOKUP(C67,'Master Bahan'!$B$4:$G$44,4,0)</f>
        <v>57</v>
      </c>
      <c r="G67" s="4" t="n">
        <f aca="false">F67*D67</f>
        <v>1140</v>
      </c>
      <c r="H67" s="4" t="n">
        <f aca="false">SUM(G67:G80)</f>
        <v>1557.638723</v>
      </c>
      <c r="I67" s="4" t="n">
        <f aca="false">H67*$I$1</f>
        <v>155.7638723</v>
      </c>
      <c r="J67" s="4" t="n">
        <f aca="false">H67+I67</f>
        <v>1713.4025953</v>
      </c>
    </row>
    <row r="68" customFormat="false" ht="15" hidden="false" customHeight="false" outlineLevel="0" collapsed="false">
      <c r="C68" s="1" t="s">
        <v>73</v>
      </c>
      <c r="D68" s="41" t="n">
        <v>1.1</v>
      </c>
      <c r="E68" s="5" t="s">
        <v>74</v>
      </c>
      <c r="F68" s="4" t="n">
        <f aca="false">VLOOKUP(C68,'Master Bahan'!$B$4:$G$44,4,0)</f>
        <v>27</v>
      </c>
      <c r="G68" s="4" t="n">
        <f aca="false">F68*D68</f>
        <v>29.7</v>
      </c>
    </row>
    <row r="69" customFormat="false" ht="15" hidden="false" customHeight="false" outlineLevel="0" collapsed="false">
      <c r="C69" s="1" t="s">
        <v>76</v>
      </c>
      <c r="D69" s="41" t="n">
        <v>1</v>
      </c>
      <c r="E69" s="5" t="s">
        <v>74</v>
      </c>
      <c r="F69" s="4" t="n">
        <f aca="false">VLOOKUP(C69,'Master Bahan'!$B$4:$G$44,4,0)</f>
        <v>20</v>
      </c>
      <c r="G69" s="4" t="n">
        <f aca="false">F69*D69</f>
        <v>20</v>
      </c>
    </row>
    <row r="70" customFormat="false" ht="15" hidden="false" customHeight="false" outlineLevel="0" collapsed="false">
      <c r="C70" s="1" t="s">
        <v>78</v>
      </c>
      <c r="D70" s="41" t="n">
        <v>0.5</v>
      </c>
      <c r="E70" s="5" t="s">
        <v>74</v>
      </c>
      <c r="F70" s="4" t="n">
        <f aca="false">VLOOKUP(C70,'Master Bahan'!$B$4:$G$44,4,0)</f>
        <v>40</v>
      </c>
      <c r="G70" s="4" t="n">
        <f aca="false">F70*D70</f>
        <v>20</v>
      </c>
    </row>
    <row r="71" customFormat="false" ht="15" hidden="false" customHeight="false" outlineLevel="0" collapsed="false">
      <c r="C71" s="1" t="s">
        <v>79</v>
      </c>
      <c r="D71" s="41" t="n">
        <v>0.4</v>
      </c>
      <c r="E71" s="5" t="s">
        <v>74</v>
      </c>
      <c r="F71" s="4" t="n">
        <f aca="false">VLOOKUP(C71,'Master Bahan'!$B$4:$G$44,4,0)</f>
        <v>75</v>
      </c>
      <c r="G71" s="4" t="n">
        <f aca="false">F71*D71</f>
        <v>30</v>
      </c>
    </row>
    <row r="72" customFormat="false" ht="15" hidden="false" customHeight="false" outlineLevel="0" collapsed="false">
      <c r="C72" s="1" t="s">
        <v>80</v>
      </c>
      <c r="D72" s="41" t="n">
        <v>0.1</v>
      </c>
      <c r="E72" s="5" t="s">
        <v>74</v>
      </c>
      <c r="F72" s="4" t="n">
        <f aca="false">VLOOKUP(C72,'Master Bahan'!$B$4:$G$44,4,0)</f>
        <v>60</v>
      </c>
      <c r="G72" s="4" t="n">
        <f aca="false">F72*D72</f>
        <v>6</v>
      </c>
    </row>
    <row r="73" customFormat="false" ht="15" hidden="false" customHeight="false" outlineLevel="0" collapsed="false">
      <c r="C73" s="1" t="s">
        <v>82</v>
      </c>
      <c r="D73" s="41" t="n">
        <v>0.6</v>
      </c>
      <c r="E73" s="5" t="s">
        <v>74</v>
      </c>
      <c r="F73" s="4" t="n">
        <f aca="false">VLOOKUP(C73,'Master Bahan'!$B$4:$G$44,4,0)</f>
        <v>53</v>
      </c>
      <c r="G73" s="4" t="n">
        <f aca="false">F73*D73</f>
        <v>31.8</v>
      </c>
    </row>
    <row r="74" customFormat="false" ht="15" hidden="false" customHeight="false" outlineLevel="0" collapsed="false">
      <c r="C74" s="1" t="s">
        <v>83</v>
      </c>
      <c r="D74" s="41" t="n">
        <v>0.4</v>
      </c>
      <c r="E74" s="5" t="s">
        <v>74</v>
      </c>
      <c r="F74" s="4" t="n">
        <f aca="false">VLOOKUP(C74,'Master Bahan'!$B$4:$G$44,4,0)</f>
        <v>105</v>
      </c>
      <c r="G74" s="4" t="n">
        <f aca="false">F74*D74</f>
        <v>42</v>
      </c>
    </row>
    <row r="75" customFormat="false" ht="15" hidden="false" customHeight="false" outlineLevel="0" collapsed="false">
      <c r="C75" s="1" t="s">
        <v>84</v>
      </c>
      <c r="D75" s="41" t="n">
        <v>0.3</v>
      </c>
      <c r="E75" s="5" t="s">
        <v>74</v>
      </c>
      <c r="F75" s="4" t="n">
        <f aca="false">VLOOKUP(C75,'Master Bahan'!$B$4:$G$44,4,0)</f>
        <v>50</v>
      </c>
      <c r="G75" s="4" t="n">
        <f aca="false">F75*D75</f>
        <v>15</v>
      </c>
    </row>
    <row r="76" customFormat="false" ht="15" hidden="false" customHeight="false" outlineLevel="0" collapsed="false">
      <c r="C76" s="1" t="s">
        <v>85</v>
      </c>
      <c r="D76" s="41" t="n">
        <v>0.14</v>
      </c>
      <c r="E76" s="5" t="s">
        <v>74</v>
      </c>
      <c r="F76" s="4" t="n">
        <f aca="false">VLOOKUP(C76,'Master Bahan'!$B$4:$G$44,4,0)</f>
        <v>14</v>
      </c>
      <c r="G76" s="4" t="n">
        <f aca="false">F76*D76</f>
        <v>1.96</v>
      </c>
    </row>
    <row r="77" customFormat="false" ht="15" hidden="false" customHeight="false" outlineLevel="0" collapsed="false">
      <c r="C77" s="1" t="s">
        <v>86</v>
      </c>
      <c r="D77" s="41" t="n">
        <v>0.5</v>
      </c>
      <c r="E77" s="5" t="s">
        <v>74</v>
      </c>
      <c r="F77" s="4" t="n">
        <f aca="false">VLOOKUP(C77,'Master Bahan'!$B$4:$G$44,4,0)</f>
        <v>18</v>
      </c>
      <c r="G77" s="4" t="n">
        <f aca="false">F77*D77</f>
        <v>9</v>
      </c>
    </row>
    <row r="78" customFormat="false" ht="15" hidden="false" customHeight="false" outlineLevel="0" collapsed="false">
      <c r="C78" s="1" t="s">
        <v>107</v>
      </c>
      <c r="D78" s="41" t="n">
        <v>1</v>
      </c>
      <c r="E78" s="5" t="s">
        <v>108</v>
      </c>
      <c r="F78" s="4" t="n">
        <f aca="false">VLOOKUP(C78,'Master Bahan'!$B$4:$G$44,4,0)</f>
        <v>132.978723</v>
      </c>
      <c r="G78" s="4" t="n">
        <f aca="false">F78*D78</f>
        <v>132.978723</v>
      </c>
    </row>
    <row r="79" customFormat="false" ht="15" hidden="false" customHeight="false" outlineLevel="0" collapsed="false">
      <c r="C79" s="1" t="s">
        <v>88</v>
      </c>
      <c r="D79" s="41" t="n">
        <v>3.6</v>
      </c>
      <c r="E79" s="5" t="s">
        <v>74</v>
      </c>
      <c r="F79" s="4" t="n">
        <f aca="false">VLOOKUP(C79,'Master Bahan'!$B$4:$G$44,4,0)</f>
        <v>22</v>
      </c>
      <c r="G79" s="4" t="n">
        <f aca="false">F79*D79</f>
        <v>79.2</v>
      </c>
    </row>
    <row r="80" customFormat="false" ht="15" hidden="false" customHeight="false" outlineLevel="0" collapsed="false">
      <c r="C80" s="1" t="s">
        <v>158</v>
      </c>
      <c r="E80" s="5" t="s">
        <v>74</v>
      </c>
      <c r="G80" s="4" t="n">
        <f aca="false">F80*D80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Q5" activeCellId="0" sqref="Q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.57"/>
    <col collapsed="false" customWidth="true" hidden="false" outlineLevel="0" max="2" min="2" style="0" width="16.43"/>
    <col collapsed="false" customWidth="true" hidden="false" outlineLevel="0" max="3" min="3" style="0" width="19.86"/>
    <col collapsed="false" customWidth="true" hidden="false" outlineLevel="0" max="10" min="10" style="0" width="11.57"/>
    <col collapsed="false" customWidth="true" hidden="false" outlineLevel="0" max="12" min="12" style="0" width="16.71"/>
  </cols>
  <sheetData>
    <row r="1" customFormat="false" ht="15" hidden="false" customHeight="false" outlineLevel="0" collapsed="false">
      <c r="B1" s="0" t="s">
        <v>159</v>
      </c>
      <c r="I1" s="43" t="n">
        <v>0.1</v>
      </c>
    </row>
    <row r="2" customFormat="false" ht="15" hidden="false" customHeight="false" outlineLevel="0" collapsed="false">
      <c r="A2" s="28" t="s">
        <v>20</v>
      </c>
      <c r="B2" s="28" t="s">
        <v>117</v>
      </c>
      <c r="C2" s="28" t="s">
        <v>118</v>
      </c>
      <c r="D2" s="36" t="s">
        <v>119</v>
      </c>
      <c r="E2" s="30" t="s">
        <v>68</v>
      </c>
      <c r="F2" s="30" t="s">
        <v>120</v>
      </c>
      <c r="G2" s="30" t="s">
        <v>121</v>
      </c>
      <c r="H2" s="31" t="s">
        <v>122</v>
      </c>
      <c r="I2" s="32" t="s">
        <v>123</v>
      </c>
      <c r="J2" s="30" t="s">
        <v>27</v>
      </c>
    </row>
    <row r="3" customFormat="false" ht="15" hidden="false" customHeight="false" outlineLevel="0" collapsed="false">
      <c r="A3" s="1"/>
      <c r="B3" s="1" t="s">
        <v>160</v>
      </c>
      <c r="C3" s="1" t="s">
        <v>161</v>
      </c>
      <c r="D3" s="4" t="n">
        <v>1</v>
      </c>
      <c r="E3" s="5" t="s">
        <v>162</v>
      </c>
      <c r="F3" s="4" t="n">
        <v>1495.4</v>
      </c>
      <c r="G3" s="4" t="n">
        <f aca="false">F3*D3</f>
        <v>1495.4</v>
      </c>
      <c r="H3" s="4" t="n">
        <f aca="false">SUM(G3:G8)</f>
        <v>6300.27</v>
      </c>
      <c r="I3" s="4" t="n">
        <f aca="false">H3*$I$1</f>
        <v>630.027</v>
      </c>
      <c r="J3" s="4" t="n">
        <f aca="false">H3+I3</f>
        <v>6930.297</v>
      </c>
    </row>
    <row r="4" customFormat="false" ht="15" hidden="false" customHeight="false" outlineLevel="0" collapsed="false">
      <c r="A4" s="1"/>
      <c r="B4" s="1" t="s">
        <v>163</v>
      </c>
      <c r="C4" s="1" t="s">
        <v>164</v>
      </c>
      <c r="D4" s="4" t="n">
        <v>9</v>
      </c>
      <c r="E4" s="5" t="s">
        <v>74</v>
      </c>
      <c r="F4" s="4" t="n">
        <v>28.58</v>
      </c>
      <c r="G4" s="4" t="n">
        <f aca="false">F4*D4</f>
        <v>257.22</v>
      </c>
      <c r="H4" s="1"/>
      <c r="I4" s="1"/>
      <c r="J4" s="1"/>
    </row>
    <row r="5" customFormat="false" ht="15" hidden="false" customHeight="false" outlineLevel="0" collapsed="false">
      <c r="A5" s="1"/>
      <c r="B5" s="1"/>
      <c r="C5" s="1" t="s">
        <v>165</v>
      </c>
      <c r="D5" s="4" t="n">
        <v>1</v>
      </c>
      <c r="E5" s="5" t="s">
        <v>74</v>
      </c>
      <c r="F5" s="4" t="n">
        <v>1151.25</v>
      </c>
      <c r="G5" s="4" t="n">
        <f aca="false">F5*D5</f>
        <v>1151.25</v>
      </c>
      <c r="H5" s="1"/>
      <c r="I5" s="1"/>
      <c r="J5" s="1"/>
    </row>
    <row r="6" customFormat="false" ht="15" hidden="false" customHeight="false" outlineLevel="0" collapsed="false">
      <c r="A6" s="1"/>
      <c r="B6" s="1"/>
      <c r="C6" s="1" t="s">
        <v>166</v>
      </c>
      <c r="D6" s="4" t="n">
        <v>100</v>
      </c>
      <c r="E6" s="5" t="s">
        <v>74</v>
      </c>
      <c r="F6" s="4" t="n">
        <v>20</v>
      </c>
      <c r="G6" s="4" t="n">
        <f aca="false">F6*D6</f>
        <v>2000</v>
      </c>
      <c r="H6" s="1"/>
      <c r="I6" s="1"/>
      <c r="J6" s="1"/>
    </row>
    <row r="7" customFormat="false" ht="15" hidden="false" customHeight="false" outlineLevel="0" collapsed="false">
      <c r="A7" s="1"/>
      <c r="B7" s="1"/>
      <c r="C7" s="1" t="s">
        <v>167</v>
      </c>
      <c r="D7" s="4" t="n">
        <v>11</v>
      </c>
      <c r="E7" s="5" t="s">
        <v>74</v>
      </c>
      <c r="F7" s="4" t="n">
        <v>22.4</v>
      </c>
      <c r="G7" s="4" t="n">
        <f aca="false">F7*D7</f>
        <v>246.4</v>
      </c>
      <c r="H7" s="1"/>
      <c r="I7" s="1"/>
      <c r="J7" s="1"/>
    </row>
    <row r="8" customFormat="false" ht="15" hidden="false" customHeight="false" outlineLevel="0" collapsed="false">
      <c r="A8" s="1"/>
      <c r="B8" s="1"/>
      <c r="C8" s="1" t="s">
        <v>168</v>
      </c>
      <c r="D8" s="4" t="n">
        <v>1</v>
      </c>
      <c r="E8" s="5" t="s">
        <v>74</v>
      </c>
      <c r="F8" s="4" t="n">
        <v>1150</v>
      </c>
      <c r="G8" s="4" t="n">
        <f aca="false">F8*D8</f>
        <v>1150</v>
      </c>
      <c r="H8" s="1"/>
      <c r="I8" s="1"/>
      <c r="J8" s="1"/>
    </row>
    <row r="9" customFormat="false" ht="15" hidden="false" customHeight="false" outlineLevel="0" collapsed="false">
      <c r="F9" s="4"/>
    </row>
    <row r="10" customFormat="false" ht="15" hidden="false" customHeight="false" outlineLevel="0" collapsed="false">
      <c r="A10" s="44"/>
      <c r="B10" s="44" t="s">
        <v>169</v>
      </c>
      <c r="C10" s="44"/>
      <c r="D10" s="44"/>
      <c r="E10" s="44"/>
      <c r="F10" s="44"/>
      <c r="G10" s="44"/>
      <c r="H10" s="44"/>
      <c r="I10" s="44"/>
      <c r="J10" s="44"/>
    </row>
    <row r="11" customFormat="false" ht="15" hidden="false" customHeight="false" outlineLevel="0" collapsed="false">
      <c r="A11" s="45" t="s">
        <v>20</v>
      </c>
      <c r="B11" s="45" t="s">
        <v>117</v>
      </c>
      <c r="C11" s="45" t="s">
        <v>118</v>
      </c>
      <c r="D11" s="46" t="s">
        <v>119</v>
      </c>
      <c r="E11" s="47" t="s">
        <v>68</v>
      </c>
      <c r="F11" s="47" t="s">
        <v>120</v>
      </c>
      <c r="G11" s="47" t="s">
        <v>121</v>
      </c>
      <c r="H11" s="48" t="s">
        <v>122</v>
      </c>
      <c r="I11" s="49" t="s">
        <v>123</v>
      </c>
      <c r="J11" s="47" t="s">
        <v>27</v>
      </c>
    </row>
    <row r="12" customFormat="false" ht="15" hidden="false" customHeight="false" outlineLevel="0" collapsed="false">
      <c r="A12" s="50"/>
      <c r="B12" s="50" t="s">
        <v>170</v>
      </c>
      <c r="C12" s="50" t="s">
        <v>171</v>
      </c>
      <c r="D12" s="51" t="n">
        <v>20</v>
      </c>
      <c r="E12" s="52" t="s">
        <v>108</v>
      </c>
      <c r="F12" s="51" t="n">
        <v>1350</v>
      </c>
      <c r="G12" s="51" t="n">
        <f aca="false">F12*D12</f>
        <v>27000</v>
      </c>
      <c r="H12" s="51" t="n">
        <f aca="false">SUM(G12:G13)</f>
        <v>27189.473682</v>
      </c>
      <c r="I12" s="51" t="n">
        <f aca="false">H12*$I$1</f>
        <v>2718.9473682</v>
      </c>
      <c r="J12" s="51" t="n">
        <f aca="false">H12+I12</f>
        <v>29908.4210502</v>
      </c>
      <c r="L12" s="0" t="s">
        <v>172</v>
      </c>
    </row>
    <row r="13" customFormat="false" ht="15" hidden="false" customHeight="false" outlineLevel="0" collapsed="false">
      <c r="A13" s="50"/>
      <c r="B13" s="50" t="s">
        <v>173</v>
      </c>
      <c r="C13" s="50" t="s">
        <v>103</v>
      </c>
      <c r="D13" s="51" t="n">
        <v>600</v>
      </c>
      <c r="E13" s="52" t="s">
        <v>74</v>
      </c>
      <c r="F13" s="51" t="n">
        <f aca="false">VLOOKUP(C13,'Master Bahan'!$B$4:$G$44,4,0)</f>
        <v>0.31578947</v>
      </c>
      <c r="G13" s="51" t="n">
        <f aca="false">F13*D13</f>
        <v>189.473682</v>
      </c>
      <c r="H13" s="50"/>
      <c r="I13" s="50"/>
      <c r="J13" s="50"/>
      <c r="L13" s="0" t="s">
        <v>174</v>
      </c>
    </row>
    <row r="14" customFormat="false" ht="15" hidden="false" customHeight="false" outlineLevel="0" collapsed="false">
      <c r="A14" s="44"/>
      <c r="B14" s="44"/>
      <c r="C14" s="44"/>
      <c r="D14" s="44"/>
      <c r="E14" s="44"/>
      <c r="F14" s="44"/>
      <c r="G14" s="44"/>
      <c r="H14" s="44"/>
      <c r="I14" s="44"/>
      <c r="J14" s="44"/>
      <c r="L14" s="0" t="s">
        <v>175</v>
      </c>
    </row>
    <row r="15" customFormat="false" ht="15" hidden="false" customHeight="false" outlineLevel="0" collapsed="false">
      <c r="A15" s="45" t="s">
        <v>20</v>
      </c>
      <c r="B15" s="45" t="s">
        <v>117</v>
      </c>
      <c r="C15" s="45" t="s">
        <v>118</v>
      </c>
      <c r="D15" s="46" t="s">
        <v>119</v>
      </c>
      <c r="E15" s="47" t="s">
        <v>68</v>
      </c>
      <c r="F15" s="47" t="s">
        <v>120</v>
      </c>
      <c r="G15" s="47" t="s">
        <v>121</v>
      </c>
      <c r="H15" s="48" t="s">
        <v>122</v>
      </c>
      <c r="I15" s="49" t="s">
        <v>123</v>
      </c>
      <c r="J15" s="47" t="s">
        <v>27</v>
      </c>
      <c r="L15" s="0" t="s">
        <v>176</v>
      </c>
    </row>
    <row r="16" customFormat="false" ht="15" hidden="false" customHeight="false" outlineLevel="0" collapsed="false">
      <c r="A16" s="50"/>
      <c r="B16" s="50" t="s">
        <v>177</v>
      </c>
      <c r="C16" s="50" t="s">
        <v>106</v>
      </c>
      <c r="D16" s="51" t="n">
        <v>500</v>
      </c>
      <c r="E16" s="52" t="s">
        <v>74</v>
      </c>
      <c r="F16" s="51" t="n">
        <v>40.6</v>
      </c>
      <c r="G16" s="51" t="n">
        <f aca="false">F16*D16</f>
        <v>20300</v>
      </c>
      <c r="H16" s="51" t="n">
        <f aca="false">SUM(G16:G17)</f>
        <v>20931.57894</v>
      </c>
      <c r="I16" s="51" t="n">
        <f aca="false">H16*$I$1</f>
        <v>2093.157894</v>
      </c>
      <c r="J16" s="51" t="n">
        <f aca="false">H16+I16</f>
        <v>23024.736834</v>
      </c>
      <c r="L16" s="0" t="s">
        <v>178</v>
      </c>
    </row>
    <row r="17" customFormat="false" ht="15" hidden="false" customHeight="false" outlineLevel="0" collapsed="false">
      <c r="A17" s="50"/>
      <c r="B17" s="50" t="s">
        <v>179</v>
      </c>
      <c r="C17" s="50" t="s">
        <v>103</v>
      </c>
      <c r="D17" s="51" t="n">
        <v>2000</v>
      </c>
      <c r="E17" s="52" t="s">
        <v>74</v>
      </c>
      <c r="F17" s="51" t="n">
        <f aca="false">VLOOKUP(C17,'Master Bahan'!$B$4:$G$44,4,0)</f>
        <v>0.31578947</v>
      </c>
      <c r="G17" s="51" t="n">
        <f aca="false">F17*D17</f>
        <v>631.57894</v>
      </c>
      <c r="H17" s="50"/>
      <c r="I17" s="50"/>
      <c r="J17" s="50"/>
    </row>
    <row r="18" customFormat="false" ht="15" hidden="false" customHeight="fals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customFormat="false" ht="15" hidden="false" customHeight="false" outlineLevel="0" collapsed="false">
      <c r="A19" s="45" t="s">
        <v>20</v>
      </c>
      <c r="B19" s="45" t="s">
        <v>117</v>
      </c>
      <c r="C19" s="45" t="s">
        <v>118</v>
      </c>
      <c r="D19" s="46" t="s">
        <v>119</v>
      </c>
      <c r="E19" s="47" t="s">
        <v>68</v>
      </c>
      <c r="F19" s="47" t="s">
        <v>120</v>
      </c>
      <c r="G19" s="47" t="s">
        <v>121</v>
      </c>
      <c r="H19" s="48" t="s">
        <v>122</v>
      </c>
      <c r="I19" s="49" t="s">
        <v>123</v>
      </c>
      <c r="J19" s="47" t="s">
        <v>27</v>
      </c>
    </row>
    <row r="20" customFormat="false" ht="15" hidden="false" customHeight="false" outlineLevel="0" collapsed="false">
      <c r="A20" s="50"/>
      <c r="B20" s="50" t="s">
        <v>180</v>
      </c>
      <c r="C20" s="50" t="s">
        <v>181</v>
      </c>
      <c r="D20" s="51" t="n">
        <v>1000</v>
      </c>
      <c r="E20" s="52" t="s">
        <v>74</v>
      </c>
      <c r="F20" s="51" t="n">
        <v>18</v>
      </c>
      <c r="G20" s="51" t="n">
        <f aca="false">F20*D20</f>
        <v>18000</v>
      </c>
      <c r="H20" s="51" t="n">
        <f aca="false">SUM(G20:G21)</f>
        <v>18284.210523</v>
      </c>
      <c r="I20" s="51" t="n">
        <f aca="false">H20*$I$1</f>
        <v>1828.4210523</v>
      </c>
      <c r="J20" s="51" t="n">
        <f aca="false">H20+I20</f>
        <v>20112.6315753</v>
      </c>
    </row>
    <row r="21" customFormat="false" ht="15" hidden="false" customHeight="false" outlineLevel="0" collapsed="false">
      <c r="A21" s="50"/>
      <c r="B21" s="50" t="s">
        <v>182</v>
      </c>
      <c r="C21" s="50" t="s">
        <v>103</v>
      </c>
      <c r="D21" s="51" t="n">
        <v>900</v>
      </c>
      <c r="E21" s="52" t="s">
        <v>74</v>
      </c>
      <c r="F21" s="51" t="n">
        <f aca="false">VLOOKUP(C21,'Master Bahan'!$B$4:$G$44,4,0)</f>
        <v>0.31578947</v>
      </c>
      <c r="G21" s="51" t="n">
        <f aca="false">F21*D21</f>
        <v>284.210523</v>
      </c>
      <c r="H21" s="50"/>
      <c r="I21" s="50"/>
      <c r="J21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2026-09-26T06:29:23Z</dcterms:created>
  <dc:creator>delona arbev</dc:creator>
  <dc:description/>
  <dc:language>en-ID</dc:language>
  <cp:lastModifiedBy>delona arbev</cp:lastModifiedBy>
  <dcterms:modified xsi:type="dcterms:W3CDTF">2026-09-29T11:46:26Z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